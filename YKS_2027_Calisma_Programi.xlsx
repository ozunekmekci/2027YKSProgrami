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zır YKS Kamp Takvimi" state="visible" r:id="rId4"/>
    <sheet sheetId="2" name="Dinamik Haftalık Planlayıcı" state="visible" r:id="rId5"/>
    <sheet sheetId="3" name="Veri Bankası" state="visible" r:id="rId6"/>
  </sheets>
  <definedNames>
    <definedName name="Ders_Listesi">'Veri Bankası'!$I$2:$I$10</definedName>
    <definedName name="TYT_Türkçe">'Veri Bankası'!$C$2:$C$72</definedName>
    <definedName name="TYT_Turkce">'Veri Bankası'!$C$2:$C$72</definedName>
    <definedName name="TYT_AYT_Tarih">'Veri Bankası'!$C$73:$C$238</definedName>
    <definedName name="TYT_Coğrafya">'Veri Bankası'!$C$239:$C$298</definedName>
    <definedName name="TYT_Cografya">'Veri Bankası'!$C$239:$C$298</definedName>
    <definedName name="AYT_Coğrafya">'Veri Bankası'!$C$299:$C$352</definedName>
    <definedName name="AYT_Cografya">'Veri Bankası'!$C$299:$C$352</definedName>
    <definedName name="TYT_Matematik">'Veri Bankası'!$C$353:$C$470</definedName>
    <definedName name="TYT_Biyoloji">'Veri Bankası'!$C$471:$C$550</definedName>
    <definedName name="TYT_Fizik">'Veri Bankası'!$C$551:$C$626</definedName>
    <definedName name="TYT_Kimya">'Veri Bankası'!$C$627:$C$705</definedName>
    <definedName name="AYT_Edebiyat">'Veri Bankası'!$C$706:$C$767</definedName>
    <definedName name="Veri_Tablosu">'Veri Bankası'!$A$2:$G$767</definedName>
  </definedNames>
  <calcPr calcId="171027"/>
</workbook>
</file>

<file path=xl/sharedStrings.xml><?xml version="1.0" encoding="utf-8"?>
<sst xmlns="http://schemas.openxmlformats.org/spreadsheetml/2006/main" count="16047" uniqueCount="1663">
  <si>
    <t>🎯 YKS 2027 ÇALIŞMA PLANI • 42 HAFTALIK BÜYÜK KAMP</t>
  </si>
  <si>
    <t>📌 Günde 4 Blok Video (1 Blok = 1 Video) • Bloklar Arası 20 Dk Mola • Pazar Günleri Dinlenme • Hedef: 19 Haziran 2027</t>
  </si>
  <si>
    <t xml:space="preserve">📊 KAMP
DURUMU</t>
  </si>
  <si>
    <t>TOPLAM VİDEO</t>
  </si>
  <si>
    <t>İZLENEN VİDEO</t>
  </si>
  <si>
    <t>KALAN VİDEO</t>
  </si>
  <si>
    <t>İLERLEME</t>
  </si>
  <si>
    <t>TOPLAM SAAT</t>
  </si>
  <si>
    <t>BİTEN SAAT</t>
  </si>
  <si>
    <t>Hafta / Gün / Blok</t>
  </si>
  <si>
    <t>Ders</t>
  </si>
  <si>
    <t>Video / Konu Başlığı</t>
  </si>
  <si>
    <t>Eğitmen &amp; Kanal</t>
  </si>
  <si>
    <t>Süre (Dk)</t>
  </si>
  <si>
    <t>YouTube Linki</t>
  </si>
  <si>
    <t>Tamamlandı [X]</t>
  </si>
  <si>
    <t>📅 1. HAFTA PROGRAMI</t>
  </si>
  <si>
    <t>📌 Pazartesi (4 Blok Video + 3 Mola)</t>
  </si>
  <si>
    <t>1. Blok</t>
  </si>
  <si>
    <t>TYT Türkçe</t>
  </si>
  <si>
    <t>2027 ~ Türkçe Derse Giriş / Aker KARTAL</t>
  </si>
  <si>
    <t>Aker Kartal</t>
  </si>
  <si>
    <t>İzle</t>
  </si>
  <si>
    <t/>
  </si>
  <si>
    <t>Mola 1</t>
  </si>
  <si>
    <t>☕ 20 Dk Mola</t>
  </si>
  <si>
    <t>Zihni Dinlendir &amp; Beyin Resetleme</t>
  </si>
  <si>
    <t>-</t>
  </si>
  <si>
    <t>2. Blok</t>
  </si>
  <si>
    <t>1) Ses Bilgisi - 1 | Aker KARTAL - 2027</t>
  </si>
  <si>
    <t>Mola 2</t>
  </si>
  <si>
    <t>3. Blok</t>
  </si>
  <si>
    <t>TYT Coğrafya</t>
  </si>
  <si>
    <t>TYT COĞRAFYA KAMPI 2027 I Coğrafya çalışma programı</t>
  </si>
  <si>
    <t>Yunus Hoca (Coğrafyanın Kodları)</t>
  </si>
  <si>
    <t>Mola 3</t>
  </si>
  <si>
    <t>4. Blok</t>
  </si>
  <si>
    <t>39 Günde tyt coğrafya kampı 2026 - 2027  | ZEDUVA 1 KİTAP 3 KAMP</t>
  </si>
  <si>
    <t>Günlük Toplam</t>
  </si>
  <si>
    <t>4 Blok + 3 Mola</t>
  </si>
  <si>
    <t>Günlük Çalışma &amp; Mola</t>
  </si>
  <si>
    <t>Toplam Mola: 60 Dk</t>
  </si>
  <si>
    <t>📌 Salı (4 Blok Video + 3 Mola)</t>
  </si>
  <si>
    <t>TYT Matematik</t>
  </si>
  <si>
    <t>2027 TYT Matematik Kamplarımız</t>
  </si>
  <si>
    <t>Selim Yüksel (Bıyıklı Matematik)</t>
  </si>
  <si>
    <t>55 Günde TYT Matematik Kampı | 1. Gün | Temel İşlem Aritmetiği | Konu Anlatımı 2027</t>
  </si>
  <si>
    <t>TYT-AYT Tarih</t>
  </si>
  <si>
    <t>1) Geçmişin İnşa Sürecinde Tarih | YKS-Tarih | Mehmet Celal ÖZYILDIZ - 2027</t>
  </si>
  <si>
    <t>Mehmet Celal Özyıldız</t>
  </si>
  <si>
    <t>2)Geçmişin İnşa Sürecinde Tarih | Tarihin Sınıflandırılması |YKS-Tarih| Mehmet Celal ÖZYILDIZ - 2027</t>
  </si>
  <si>
    <t>📌 Çarşamba (4 Blok Video + 3 Mola)</t>
  </si>
  <si>
    <t>TYT Biyoloji</t>
  </si>
  <si>
    <t>TYT Biyoloji - 39 Günde Biyolojiyi Fullemek İçin - 2027 Yol Haritası</t>
  </si>
  <si>
    <t>Semih Hoca (Biosem)</t>
  </si>
  <si>
    <t>39 Günde tyt biyoloji kampı 2027 - 2028 | ZEDUVA 1 KİTAP 3 KAMP</t>
  </si>
  <si>
    <t>AYT Edebiyat</t>
  </si>
  <si>
    <t>RÖNTGENİNİ ÇEKTİM: AYT EDEBİYAT SORU DAĞILIMI / Konuları / Çalışma Önerileri / ÖSYM'nin Sordukları</t>
  </si>
  <si>
    <t>Deniz Hoca</t>
  </si>
  <si>
    <t>SANAT VE EDEBİYAT | 1.Gün | 📌 2026 AYT Edebiyat Kampı</t>
  </si>
  <si>
    <t>📌 Perşembe (4 Blok Video + 3 Mola)</t>
  </si>
  <si>
    <t>55 Günde TYT Matematik Kampı | 1. Gün | Temel İşlem Aritmetiği | ÖSYM Yaklaşım Soruları 2027</t>
  </si>
  <si>
    <t>55 Günde TYT Matematik Kampı | 2. Gün | Temel Kavramlar | Konu Anlatımı 2027</t>
  </si>
  <si>
    <t>TYT Kimya</t>
  </si>
  <si>
    <t>39 günde tyt kimya 2026-2027 | ZEDUVA 1 KİTAP 3 KAMP</t>
  </si>
  <si>
    <t>Mesut Hoca (Meschemy Kimya)</t>
  </si>
  <si>
    <t>Kimya Zemin Hazırla YKS 2027</t>
  </si>
  <si>
    <t>📌 Cuma (4 Blok Video + 3 Mola)</t>
  </si>
  <si>
    <t>TYT Fizik</t>
  </si>
  <si>
    <t>39 günde TYT fizik 0.gün 2026-2027 | ZEDUVA 1 KİTAP 3 KAMP</t>
  </si>
  <si>
    <t>Altuğ Güneş (Fizikfinito)</t>
  </si>
  <si>
    <t>Tyt fizik kitap inceleme 2026-2027 - 1 Kitap 3 Kamp Zeduva</t>
  </si>
  <si>
    <t>EDEBİYAT VE BİLİM DALLARI | 2.Gün | 📌 2026 AYT Edebiyat Kampı</t>
  </si>
  <si>
    <t>METİNLERİN SINIFLANDIRILMASI | 3.Gün | 📌 2026 AYT Edebiyat Kampı</t>
  </si>
  <si>
    <t>📌 Cumartesi (4 Blok Video + 3 Mola)</t>
  </si>
  <si>
    <t>3) Geçmişin İnşa Sürecinde Tarih | Tarihe Yardımcı Bilimler |YKS-Tarih| Mehmet Celal ÖZYILDIZ - 2027</t>
  </si>
  <si>
    <t>4) Geçmişin İnşa Sürecinde Tarih | Tarih Öncesi Devirler | YKS-Tarih | Mehmet Celal ÖZYILDIZ - 2027</t>
  </si>
  <si>
    <t>Biyoloji Zemin Hazırla 2027</t>
  </si>
  <si>
    <t>Canlıların Genel Özellikleri - Konu Anlatımı | 39 GÜNDE AYRINTILI TYT BİYOLOJİ KAMPI 2026-27 | 1</t>
  </si>
  <si>
    <t>⛔ PAZAR: ÇALIŞMAK KESİNLİKLE YASAK! (Zorunlu Dinlenme &amp; Beyin Resetleme)</t>
  </si>
  <si>
    <t>📅 2. HAFTA PROGRAMI</t>
  </si>
  <si>
    <t>2) Ses Bilgisi - 2 | Aker KARTAL - 2027</t>
  </si>
  <si>
    <t>3) Ses Bilgisi - 3 | Aker KARTAL - 2027</t>
  </si>
  <si>
    <t>Doğa ve insan - Coğrafyanın Bölümleri Konu Anlatımı | 39 GÜNDE AYRINTILI TYT COĞRAFYA KAMPI 2026 | 1</t>
  </si>
  <si>
    <t>Doğa ve insan - Coğrafyanın Bölümleri Soru Çözümü | 39 GÜNDE AYRINTILI TYT COĞRAFYA KAMPI 2026 | 1</t>
  </si>
  <si>
    <t>55 Günde TYT Matematik Kampı | 2. Gün | Temel Kavramlar | ÖSYM Yaklaşım Soruları 2027</t>
  </si>
  <si>
    <t>55 Günde TYT Matematik Kampı | 3. Gün | Tek-Çift Sayılar | Konu Anlatımı 2027</t>
  </si>
  <si>
    <t>5) İlk Çağ Uygarlıkları - 1 | YKS-Tarih | Mehmet Celal ÖZYILDIZ - 2027</t>
  </si>
  <si>
    <t>6) İlk Çağ Uygarlıkları - 2 | YKS-Tarih | Mehmet Celal ÖZYILDIZ - 2027</t>
  </si>
  <si>
    <t>Canlıların Genel Özellikleri - Soru Çözümü | 39 GÜNDE AYRINTILI TYT BİYOLOJİ KAMPI 2026-27 | 1</t>
  </si>
  <si>
    <t>İnorganik Bileşikler - Konu Anlatımı | 39 GÜNDE AYRINTILI TYT BİYOLOJİ KAMPI 2026-27 | 2</t>
  </si>
  <si>
    <t>ANLATMAYA BAĞLI METİNLER | 4.Gün | 📌 2026 AYT Edebiyat Kampı</t>
  </si>
  <si>
    <t>DESTAN VE HALK HİKAYESİ ÖZETLERİ | 4 .Gün - 2.Video | 📌 2026 AYT Edebiyat Kampı</t>
  </si>
  <si>
    <t>55 Günde TYT Matematik Kampı | 3. Gün | Tek-Çift Sayılar | ÖSYM Yaklaşım Soruları 2027</t>
  </si>
  <si>
    <t>55 Günde TYT Matematik Kampı | 4. Gün | Pozitif-Negatif Sayılar | Konu Anlatımı 2027</t>
  </si>
  <si>
    <t>Kimya Bilimi 1- Simyadan Kimyaya Konu Anlatımı | 39 GÜNDE AYRINTILI TYT KİMYA KAMPI 2026 | 1</t>
  </si>
  <si>
    <t>Kimya Bilimi 1 - Simyadan Kimyaya Soru Çözümü | 39 GÜNDE AYRINTILI TYT KİMYA KAMPI 2026 | 1</t>
  </si>
  <si>
    <t>Fizik Zemin Hazırla 2026 - FİZİK KAMPI 2026-2027</t>
  </si>
  <si>
    <t>Fizik Biliminin Alt Dalları I 39 GÜNDE AYRINTILI TYT FİZİK KAMPI 2026 I Fizik Bilimine Giriş 1.Gün</t>
  </si>
  <si>
    <t>GÖSTERMEYE BAĞLI METİNLER | 5.Gün | 📌 2026 AYT Edebiyat Kampı</t>
  </si>
  <si>
    <t>GAZETE ÇEVRESİNDE GELİŞEN METİNLER | 6.Gün | 📌 2026 AYT Edebiyat Kampı</t>
  </si>
  <si>
    <t>7) İlk Çağ Uygarlıkları - 3 | YKS-Tarih | Mehmet Celal ÖZYILDIZ - 2027</t>
  </si>
  <si>
    <t>8) İlk Çağ Uygarlıkları - 4 | YKS-Tarih | Mehmet Celal ÖZYILDIZ - 2026</t>
  </si>
  <si>
    <t>İnorganik Bileşikler - Soru Çözümü | 39 GÜNDE AYRINTILI TYT BİYOLOJİ KAMPI 2026-27 | 2</t>
  </si>
  <si>
    <t>Karbohidratlar - Konu Anlatımı | 39 GÜNDE AYRINTILI TYT BİYOLOJİ KAMPI 2026-27 | 3</t>
  </si>
  <si>
    <t>📅 3. HAFTA PROGRAMI</t>
  </si>
  <si>
    <t>4) Ses Bilgisi - 4 | Aker KARTAL - 2027</t>
  </si>
  <si>
    <t>5) Ses Bilgisi | ÖSYM Analizi | Aker KARTAL - 2027</t>
  </si>
  <si>
    <t>Coğrafyanın Tarihi Gelişimi Konu Anlatımı | 39 GÜNDE AYRINTILI TYT COĞRAFYA KAMPI 2026 | 2</t>
  </si>
  <si>
    <t>Coğrafyanın Tarihi Gelişimi Soru Çözümü | 39 GÜNDE AYRINTILI TYT COĞRAFYA KAMPI 2026 | 2</t>
  </si>
  <si>
    <t>55 Günde TYT Matematik Kampı | 4. Gün | Pozitif-Negatif Sayılar| ÖSYM Yaklaşım Soruları 2027</t>
  </si>
  <si>
    <t>55 Günde TYT Matematik Kampı | 5. Gün | Asal Sayılar ve Özel Sayılar | Konu Anlatımı 2027</t>
  </si>
  <si>
    <t>9) İslam Tarihi - 1 | YKS-Tarih | Mehmet Celal ÖZYILDIZ - 2026</t>
  </si>
  <si>
    <t>10) İslam Tarihi - 2 | YKS-Tarih | Mehmet Celal ÖZYILDIZ - 2026</t>
  </si>
  <si>
    <t>Karbohidratlar - Soru Çözümü | 39 GÜNDE AYRINTILI TYT BİYOLOJİ KAMPI 2026-27 | 3</t>
  </si>
  <si>
    <t>Lipitler(Yağlar) - Konu Anlatımı | 39 GÜNDE AYRINTILI TYT BİYOLOJİ KAMPI 2026-27 | 4</t>
  </si>
  <si>
    <t>KİŞİSEL HAYATI KONU ALAN METİNLER | 7.Gün | 📌 2026  AYT Edebiyat Kampı</t>
  </si>
  <si>
    <t>SÖZLÜ ANLATIM TÜRLERİ | 8.Gün | 📌 2026 - 59 Günde AYT Edebiyat Kampı</t>
  </si>
  <si>
    <t>55 Günde TYT Matematik Kampı | 5. Gün | Asal Sayılar ve Özel Sayılar| ÖSYM Yaklaşım Soruları 2027</t>
  </si>
  <si>
    <t>55 Günde TYT Matematik Kampı | 6. Gün | Asal Çarpanlar | Konu Anlatımı 2027</t>
  </si>
  <si>
    <t>Kimya Bilimi 2 - Kimyanın Sembolik Dili Konu Anlatımı | 39 GÜNDE AYRINTILI TYT KİMYA KAMPI 2026 |2</t>
  </si>
  <si>
    <t>Kimya Bilimi 2-Kimyanın Sembolik Dili Soru Çözümü | 39 GÜNDE AYRINTILI TYT KİMYA KAMPI 2026 |2</t>
  </si>
  <si>
    <t>Fiziksel Niceliklerin Sınıflandırılması I 39 GÜNDE TYT FİZİK KAMPI 2026 I Fizik Bilimine Giriş 2.gün</t>
  </si>
  <si>
    <t>Fizik Bilimine Giriş Soru Çözümü I 39 GÜNDE AYRINTILI TYT FİZİK KAMPI 2026 | 2 .Gün</t>
  </si>
  <si>
    <t>ŞİİR BİLGİSİ - 1 Nazım Biçimi, Nazım Birimi, Ölçü | 9.Gün | 📌 2026 AYT Edebiyat Kampı</t>
  </si>
  <si>
    <t>ŞİİR BİLGİSİ - 2 l KAFİYE VE REDİF BULMA | 10.Gün | 📌 2026 AYT Edebiyat Kampı</t>
  </si>
  <si>
    <t>11) İslam Tarihi - 3 | YKS-Tarih | Mehmet Celal ÖZYILDIZ - 2026</t>
  </si>
  <si>
    <t>12) Orta Çağda Avrupa | YKS-Tarih | Mehmet Celal ÖZYILDIZ - 2026</t>
  </si>
  <si>
    <t>Lipitler(Yağlar) - Soru Çözümü | 39 GÜNDE AYRINTILI TYT BİYOLOJİ KAMPI 2026-27 | 4</t>
  </si>
  <si>
    <t>Proteinler - Konu Anlatımı | 39 GÜNDE AYRINTILI TYT BİYOLOJİ KAMPI 2026-27 | 5</t>
  </si>
  <si>
    <t>📅 4. HAFTA PROGRAMI</t>
  </si>
  <si>
    <t>6) Ses Bilgisi | Soru Çözüm | Aker KARTAL - 2027</t>
  </si>
  <si>
    <t>7) Ses Bilgisi | Sözün Özü | Aker KARTAL - 2027</t>
  </si>
  <si>
    <t>Atmosferin Katmanları ve Özellikleri Konu Anlatımı | 39 GÜNDE AYRINTILI TYT COĞRAFYA KAMPI 2026 | 3</t>
  </si>
  <si>
    <t>Atmosferin Katmanları ve Özellikleri Soru Çözümü | 39 GÜNDE AYRINTILI TYT COĞRAFYA KAMPI 2026 | 3</t>
  </si>
  <si>
    <t>55 Günde TYT Matematik Kampı | 6. Gün |Asal Çarpanlar ve Bölen Sayılar| ÖSYM Yaklaşım Soruları 2027</t>
  </si>
  <si>
    <t>55 Günde TYT Matematik Kampı | 7. Gün | Faktöriyel | Konu Anlatımı 2027</t>
  </si>
  <si>
    <t>13) İslamiyet Öncesi Türk Tarihi - 1 | YKS-Tarih | Mehmet Celal ÖZYILDIZ - 2026</t>
  </si>
  <si>
    <t>14) İslamiyet Öncesi Türk Tarihi - 2 | YKS-Tarih | Mehmet Celal ÖZYILDIZ - 2026</t>
  </si>
  <si>
    <t>Proteinler - Soru Çözümü | 39 GÜNDE AYRINTILI TYT BİYOLOJİ KAMPI 2026-27 | 5</t>
  </si>
  <si>
    <t>Hormonlar - Konu Anlatımı | 39 GÜNDE AYRINTILI TYT BİYOLOJİ KAMPI 2026-27 | 6</t>
  </si>
  <si>
    <t>ŞİİR BİLGİSİ - 3 | 11.Gün | 📌 2026 AYT Edebiyat Kampı</t>
  </si>
  <si>
    <t>SÖZ SANATLARI | 12.Gün | 📌 2026 AYT Edebiyat Kampı</t>
  </si>
  <si>
    <t>55 Günde TYT Matematik Kampı | 7. Gün |Faktöriyel| ÖSYM Yaklaşım Soruları 2027</t>
  </si>
  <si>
    <t>55 Günde TYT Matematik Kampı | 8. Gün |Ardışık Sayılar| Konu Anlatımı 2027</t>
  </si>
  <si>
    <t>Kimya Bilimi 3 - Kimya ve İş Güvenliği Konu Anlatımı | 39 GÜNDE AYRINTILI TYT KİMYA KAMPI 2026 | 3</t>
  </si>
  <si>
    <t>Kimya Bilimi 3 - Kimya ve İş Güvenliği Soru Çözümü | 39 GÜNDE AYRINTILI TYT KİMYA KAMPI 2026 | 3</t>
  </si>
  <si>
    <t>Madde I Maddenin Ortak Özellikleri I 39 GÜNDE TYT FİZİK KAMPI 2026 I Madde ve Özellikleri 3.gün</t>
  </si>
  <si>
    <t>Özkütle I 39 GÜNDE TYT FİZİK KAMPI 2026 I Madde ve Özellikleri 4.gün</t>
  </si>
  <si>
    <t>EDEBİ AKIMLAR  +1 NET | 13.Gün | 📌 2026 AYT Edebiyat Kampı</t>
  </si>
  <si>
    <t>TÜRK EDEBİYATININ DÖNEMLERİ | 14.Gün | 📌 2026 AYT Edebiyat Kampı</t>
  </si>
  <si>
    <t>15) İslamiyet Öncesi Türk Tarihi - 3 | YKS-Tarih | Mehmet Celal ÖZYILDIZ - 2026</t>
  </si>
  <si>
    <t>16) İslamiyet Öncesi Türk Tarihi - 4 | YKS-Tarih | Mehmet Celal ÖZYILDIZ - 2026</t>
  </si>
  <si>
    <t>Vitaminler - Konu Anlatımı | 39 GÜNDE AYRINTILI TYT BİYOLOJİ KAMPI 2026-27 | 6</t>
  </si>
  <si>
    <t>Enzimler - Konu Anlatımı | 39 GÜNDE AYRINTILI TYT BİYOLOJİ KAMPI 2026-27 | 7</t>
  </si>
  <si>
    <t>📅 5. HAFTA PROGRAMI</t>
  </si>
  <si>
    <t>8) Yazım Kuralları - 1 | Aker KARTAL - 2027</t>
  </si>
  <si>
    <t>9) Yazım Kuralları - 2 | Aker KARTAL - 2027</t>
  </si>
  <si>
    <t>Sıcaklık Konu Anlatımı | 39 GÜNDE AYRINTILI TYT COĞRAFYA KAMPI 2026 | 4</t>
  </si>
  <si>
    <t>Sıcaklık Soru Çözümü | 39 GÜNDE AYRINTILI TYT COĞRAFYA KAMPI 2026 | 5</t>
  </si>
  <si>
    <t>55 Günde TYT Matematik Kampı | 8. Gün |Ardışık Sayılar| ÖSYM Yaklaşım Soruları 2027</t>
  </si>
  <si>
    <t>55 Günde TYT Matematik Kampı | 9. Gün |Sayı Basamakları| Konu Anlatımı 2027</t>
  </si>
  <si>
    <t>17) İslamiyet Öncesi Türk Tarihi - 5 | YKS-Tarih | Mehmet Celal ÖZYILDIZ - 2026</t>
  </si>
  <si>
    <t>18) İslamiyet Öncesi Türk Tarihi - 6 | YKS-Tarih | Mehmet Celal ÖZYILDIZ - 2026</t>
  </si>
  <si>
    <t>Enzimleri Etkileyen Faktörler - Konu Anlatımı | 39 GÜNDE AYRINTILI TYT BİYOLOJİ KAMPI 2026-27 | 8</t>
  </si>
  <si>
    <t>Enzimler- Hormonlar - Vitaminler Soru Çözümü | 39 GÜNDE AYRINTILI TYT BİYOLOJİ KAMPI 2026-27 | 8</t>
  </si>
  <si>
    <t>İSLAMİYET ÖNCESİ TÜRK EDEBİYATI | 15.Gün | 📌 2026 AYT Edebiyat Kampı</t>
  </si>
  <si>
    <t>GEÇİŞ DÖNEMİ ESERLERİ | 16.Gün | 📌 2026 AYT Edebiyat Kampı</t>
  </si>
  <si>
    <t>55 Günde TYT Matematik Kampı | 9. Gün |Sayı Basamakları| ÖSYM Yaklaşım Soruları 2027</t>
  </si>
  <si>
    <t>55 Günde TYT Matematik Kampı | 10. Gün |Bölme Bölünebilme-1| Konu Anlatımı 2027</t>
  </si>
  <si>
    <t>Atom ve Periyodik Sistem 1-Atomun Yapısı Konu Anlatımı | 39 GÜNDE AYRINTILI TYT KİMYA KAMPI 2026|4</t>
  </si>
  <si>
    <t>Atom ve Periyodik Sistem-1 Atomun Yapısı Soru Çözümü | 39 GÜNDE AYRINTILI TYT KİMYA KAMPI 2026 | 4</t>
  </si>
  <si>
    <t>Özkütle Soru Çözümü I 39 GÜNDE TYT FİZİK KAMPI 2026 I Madde ve Özellikleri 4.gün</t>
  </si>
  <si>
    <t>Dayanıklılık Adezyon Kohezyon I  39 GÜNDE TYT FİZİK KAMPI 2026 I Madde ve Özellikleri 5.gün</t>
  </si>
  <si>
    <t>DEDE KORKUT HİKAYELERİ | 17.Gün | 📌 2026 AYT Edebiyat Kampı</t>
  </si>
  <si>
    <t>HALK EDEBİYATI ÖZELLİKLERİ VE GİRİŞ | 18.Gün | 📌 2026 AYT Edebiyat Kampı</t>
  </si>
  <si>
    <t>19) İslamiyet Öncesi Kültür Uygarlık -1 | YKS-Tarih | Mehmet Celal ÖZYILDIZ - 2026</t>
  </si>
  <si>
    <t>20) İslamiyet Öncesi Kültür Uygarlık - 2 | YKS-Tarih | Mehmet Celal ÖZYILDIZ - 2026</t>
  </si>
  <si>
    <t>Nükleik Asitler - Konu Anlatımı | 39 GÜNDE AYRINTILI TYT BİYOLOJİ KAMPI 2026-27 | 9</t>
  </si>
  <si>
    <t>DNA Konu Anlatımı | 39 GÜNDE AYRINTILI TYT BİYOLOJİ KAMPI 2026-27 | 9</t>
  </si>
  <si>
    <t>📅 6. HAFTA PROGRAMI</t>
  </si>
  <si>
    <t>10) Yazım Kuralları - 3 | Aker KARTAL - 2027</t>
  </si>
  <si>
    <t>11) Yazım Kuralları - 4 | Aker KARTAL - 2027</t>
  </si>
  <si>
    <t>Basınç ve Rüzgarlar Konu Anlatımı | 39 GÜNDE AYRINTILI TYT COĞRAFYA KAMPI 2026 | 5</t>
  </si>
  <si>
    <t>Basınç ve Rüzgarlar Soru Çözümü | 39 GÜNDE AYRINTILI TYT COĞRAFYA KAMPI 2026 | 5</t>
  </si>
  <si>
    <t>55 Günde TYT Matematik Kampı | 10. Gün |Bölme Bölünebilme-2| Konu Anlatımı 2027</t>
  </si>
  <si>
    <t>55 Günde TYT Matematik Kampı | 10. Gün | Bölme-Bölünebilme | ÖSYM Yaklaşım Soruları 2027</t>
  </si>
  <si>
    <t>21) İslamiyet Öncesi Kültür Uygarlık - 3 | YKS-Tarih | Mehmet Celal ÖZYILDIZ - 2026</t>
  </si>
  <si>
    <t>22) İslamiyet Öncesi Kültür Uygarlık - 4 | YKS-Tarih | Mehmet Celal ÖZYILDIZ - 2026</t>
  </si>
  <si>
    <t>DNA Soru Çözümü | 39 GÜNDE AYRINTILI TYT BİYOLOJİ KAMPI 2026-27 | 9</t>
  </si>
  <si>
    <t>RNA | 39 GÜNDE AYRINTILI TYT BİYOLOJİ KAMPI 2026-27 | 10</t>
  </si>
  <si>
    <t>ANONİM HALK EDEBİYATI | 19.Gün | 📌 2026 AYT Edebiyat Kampı</t>
  </si>
  <si>
    <t>AŞIK TARZI HALK EDEBİYATI | 20.Gün | 📌 2026 AYT Edebiyat Kampı</t>
  </si>
  <si>
    <t>55 Günde TYT Matematik Kampı | 11. Gün | Ebob-Ekok 1| Konu Anlatımı 2027</t>
  </si>
  <si>
    <t>55 Günde TYT Matematik Kampı | 11. Gün | Ebob-Ekok 2| Konu Anlatımı 2027</t>
  </si>
  <si>
    <t>Atom ve Periyodik Sistem-2 Konu Anlatımı | 39 GÜNDE AYRINTILI TYT KİMYA KAMPI 2026 | 5</t>
  </si>
  <si>
    <t>Atom ve Periyodik Sistem-2 Soru Çözümü | 39 GÜNDE AYRINTILI TYT KİMYA KAMPI 2026 | 5</t>
  </si>
  <si>
    <t>Dayanıklılık Adezyon Kohezyon Soru Çözümü I 39 GÜNDE TYT FİZİK KAMPI 2026IMadde ve Özellikleri 5.gün</t>
  </si>
  <si>
    <t>Madde ve Özellikleri Soru Çözümü I  39 GÜNDE TYT FİZİK KAMPI 2026 I Ünite Tekrar Testi</t>
  </si>
  <si>
    <t>DİNİ TASAVVUFİ HALK EDEBİYATI | 21.Gün | 📌 2026 AYT Edebiyat Kampı</t>
  </si>
  <si>
    <t>HALK EDEBİYATI ŞAİRLERİ I 22.Gün | 📌 2026 AYT Edebiyat Kampı</t>
  </si>
  <si>
    <t>23) İslamiyet Öncesi Türk Tarihi | ÖSYM Analizi | YKS-Tarih | Mehmet Celal ÖZYILDIZ - 2026</t>
  </si>
  <si>
    <t>24) İslamiyet Öncesi Türk Tarihi | Soru Çözümü | YKS-Tarih | Mehmet Celal ÖZYILDIZ - 2026</t>
  </si>
  <si>
    <t>ATP Metabolizma | 39 GÜNDE AYRINTILI TYT BİYOLOJİ KAMPI 2026-27 | 10</t>
  </si>
  <si>
    <t>RNA ATP Soru Çözümü | 39 GÜNDE AYRINTILI TYT BİYOLOJİ KAMPI 2026-27 | 10</t>
  </si>
  <si>
    <t>📅 7. HAFTA PROGRAMI</t>
  </si>
  <si>
    <t>12) Yazım Kuralları - 5 | Aker KARTAL - 2027</t>
  </si>
  <si>
    <t>13) Yazım Kuralları | ÖSYM Analizi | Aker KARTAL - 2027</t>
  </si>
  <si>
    <t>Nem ve Yağış Konu Anlatımı | 39 GÜNDE AYRINTILI TYT COĞRAFYA KAMPI 2026 | 6</t>
  </si>
  <si>
    <t>Nem ve Yağış Soru Çözümü | 39 GÜNDE AYRINTILI TYT COĞRAFYA KAMPI 2026 | 6</t>
  </si>
  <si>
    <t>55 Günde TYT Matematik Kampı | 12. Gün | Ebob-Ekok 3| Konu Anlatımı 2027</t>
  </si>
  <si>
    <t>55 Günde TYT Matematik Kampı | 12. Gün | Ebob-Ekok| ÖSYM Yaklaşım Soruları 2027</t>
  </si>
  <si>
    <t>25) Türk İslam Tarihi - 1 | YKS-Tarih | Mehmet Celal ÖZYILDIZ - 2026</t>
  </si>
  <si>
    <t>26) Türk İslam Tarihi - 2 | YKS-Tarih | Mehmet Celal ÖZYILDIZ - 2026</t>
  </si>
  <si>
    <t>Canlıların Temel Bileşenleri Full Tekrar | 39 GÜNDE AYRINTILI TYT BİYOLOJİ KAMPI 2026-27 | 10</t>
  </si>
  <si>
    <t>Hücre - Hücre Zarı Konu Anlatımı | 39 GÜNDE AYRINTILI TYT BİYOLOJİ KAMPI 2026-27 | 11</t>
  </si>
  <si>
    <t>DİVAN EDEBİYATINA GİRİŞ VE ÖZELLİKLERİ | 23.Gün | 📌 2026 AYT Edebiyat Kampı</t>
  </si>
  <si>
    <t>DİVAN EDEBİYATI AKIMLARI | 24.Gün | 📌 2026 AYT Edebiyat Kampı</t>
  </si>
  <si>
    <t>55 Günde TYT Matematik Kampı | 13. Gün | Periyodik Durum İçeren Problemler| Konu Anlatımı 2027</t>
  </si>
  <si>
    <t>55 Günde TYT Matematik Kampı |13. Gün|Periyodik Durum İçeren Problemler| ÖSYM Yaklaşım Soruları 2027</t>
  </si>
  <si>
    <t>Atom ve Periyodik Sistem-3 Konu Anlatımı | 39 GÜNDE AYRINTILI TYT KİMYA KAMPI 2026 | 6</t>
  </si>
  <si>
    <t>Atom ve Periyodik Sistem-3 Soru Çözümü | 39 GÜNDE AYRINTILI TYT KİMYA KAMPI 2026 | 6</t>
  </si>
  <si>
    <t>Hareket Kavramları I  39 GÜNDE TYT FİZİK KAMPI 2026 I 6. Gün</t>
  </si>
  <si>
    <t>Hareket Grafikleri I  39 GÜNDE TYT FİZİK KAMPI 2026 I 7. Gün</t>
  </si>
  <si>
    <t>DİVAN EDEBİYATI NAZIM BİÇİMLERİ | 25.Gün | 📌 2026 AYT Edebiyat Kampı</t>
  </si>
  <si>
    <t>DİVAN EDEBİYATI DÜZYAZI TÜRLERİ | 26.Gün | 📌 2026 AYT Edebiyat Kampı</t>
  </si>
  <si>
    <t>27) Türk İslam Tarihi - 3 | YKS-Tarih | Mehmet Celal ÖZYILDIZ - 2026</t>
  </si>
  <si>
    <t>28) Mısır'da Kurulan Türk Devletleri | YKS-Tarih | Mehmet Celal ÖZYILDIZ - 2026</t>
  </si>
  <si>
    <t>Hücre - Hücre Zarı Soru Çözümü | 39 GÜNDE AYRINTILI TYT BİYOLOJİ KAMPI 2026-27 | 11</t>
  </si>
  <si>
    <t>Pasif Taşıma Konu Anlatımı | 39 GÜNDE AYRINTILI TYT BİYOLOJİ KAMPI 2026-27 | 12</t>
  </si>
  <si>
    <t>📅 8. HAFTA PROGRAMI</t>
  </si>
  <si>
    <t>14) Yazım Kuralları | Soru Çözümü | Aker KARTAL - 2027</t>
  </si>
  <si>
    <t>15) Yazım Kuralları | Sözün Özü | Aker KARTAL - 2027</t>
  </si>
  <si>
    <t>Büyük İklim Tipleri Konu Anlatımı | 39 GÜNDE AYRINTILI TYT COĞRAFYA KAMPI 2026 | 7</t>
  </si>
  <si>
    <t>Büyük İklim Tipleri Soru çözümü | 39 GÜNDE AYRINTILI TYT COĞRAFYA KAMPI 2026 | 7</t>
  </si>
  <si>
    <t>55 Günde TYT Matematik Kampı | 14. Gün | Rasyonel Sayılar 1 | Konu Anlatımı 2027</t>
  </si>
  <si>
    <t>55 Günde TYT Matematik Kampı | 14. Gün | Rasyonel Sayılar 2 | Konu Anlatımı 2027</t>
  </si>
  <si>
    <t>29) Türk İslam Devletleri | YKS-Tarih | Mehmet Celal ÖZYILDIZ - 2026</t>
  </si>
  <si>
    <t>30) Türk İslam Devletlerinde Kültür Uygarlık - 1| YKS-Tarih | Mehmet Celal ÖZYILDIZ - 2026</t>
  </si>
  <si>
    <t>Aktif Taşıma Endositoz Ekzositoz Konu Anlatımı | 39 GÜNDE AYRINTILI TYT BİYOLOJİ KAMPI 2026-27 | 13</t>
  </si>
  <si>
    <t>Madde Geçişleri Soru Çözümü | 39 GÜNDE AYRINTILI TYT BİYOLOJİ KAMPI 2026-27 | 13</t>
  </si>
  <si>
    <t>DİVAN EDEBİYATI SANATÇILARI VE ESERLERİ FULL +3 NET | 27.Gün | 📌 2026 AYT Edebiyat Kampı</t>
  </si>
  <si>
    <t>TANZİMAT DÖNEMİ'NE GİRİŞ | 28.Gün | 📌 2026 AYT Edebiyat Kampı</t>
  </si>
  <si>
    <t>55 Günde TYT Matematik Kampı | 15. Gün | Rasyonel Sayılar 3 | Konu Anlatımı 2027</t>
  </si>
  <si>
    <t>55 Günde TYT Matematik Kampı |15. Gün| Rasyonel Sayılar | ÖSYM Yaklaşım Soruları 2027</t>
  </si>
  <si>
    <t>Atom ve Periyodik Sistem-4  Konu Anlatımı | 39 GÜNDE AYRINTILI TYT KİMYA KAMP 2026 | 7</t>
  </si>
  <si>
    <t>Atom ve Periyodik Sistem-4 Soru Çözümü | 39 GÜNDE AYRINTILI TYT KİMYA KAMP 2026 | 7</t>
  </si>
  <si>
    <t>Hareket Grafikleri Soru Çözümü I  39 GÜNDE TYT FİZİK KAMPI 2026 I 7. Gün</t>
  </si>
  <si>
    <t>Newton Hareket Yasaları - Hareket ve Kuvvet |39 GÜNDE TYT FİZİK KAMPI 2026 | 8. Gün</t>
  </si>
  <si>
    <t>TANZİMAT DÖNEMİNİN ÖZELLİKLERİ | 29.Gün | 📌 2026 AYT Edebiyat Kampı</t>
  </si>
  <si>
    <t>TANZİMAT 1.DÖNEM SANATÇILARI | 30.Gün | 📌 2026 AYT Edebiyat Kampı</t>
  </si>
  <si>
    <t>31) Türk İslam Devletlerinde Kültür Uygarlık - 2 | YKS-Tarih | Mehmet Celal ÖZYILDIZ - 2026</t>
  </si>
  <si>
    <t>32) Türk İslam Tarihi | ÖSYM Analizi | YKS-Tarih | Mehmet Celal ÖZYILDIZ - 2026</t>
  </si>
  <si>
    <t>Ribozom Sentrozom Konu Anlatımı | 39 GÜNDE AYRINTILI TYT BİYOLOJİ KAMPI 2026-27 | 14</t>
  </si>
  <si>
    <t>Tek Zarlı Organeller Konu Anlatımı | 39 GÜNDE AYRINTILI TYT BİYOLOJİ KAMPI 2026-27 | 15</t>
  </si>
  <si>
    <t>📅 9. HAFTA PROGRAMI</t>
  </si>
  <si>
    <t>16) Noktalama İşaretleri - 1 | Aker KARTAL - 2027</t>
  </si>
  <si>
    <t>17) Noktalama İşaretleri - 2 | Aker KARTAL - 2027</t>
  </si>
  <si>
    <t>Türkiye İklimi Konu Anlatımı | 39 GÜNDE AYRINTILI TYT COĞRAFYA KAMPI 2026 | 8</t>
  </si>
  <si>
    <t>Türkiye İklimi Soru çözümü | 39 GÜNDE AYRINTILI TYT COĞRAFYA KAMPI 2026 | 8</t>
  </si>
  <si>
    <t>55 Günde TYT Matematik Kampı | 16. Gün | 1. Dereceden Denklemler 1| Konu Anlatımı 2027</t>
  </si>
  <si>
    <t>55 Günde TYT Matematik Kampı | 16. Gün | 1. Dereceden Denklemler 2| Konu Anlatımı 2027</t>
  </si>
  <si>
    <t>33) Türk İslam Tarihi | Soru Çözümü | YKS-Tarih | Mehmet Celal ÖZYILDIZ - 2026</t>
  </si>
  <si>
    <t>34) Türkiye Tarihi -1| YKS-Tarih | Mehmet Celal ÖZYILDIZ - 2026</t>
  </si>
  <si>
    <t>Tek Zarlı Organeller Soru Çözümü | 39 GÜNDE AYRINTILI TYT BİYOLOJİ KAMPI 2026-27 | 15</t>
  </si>
  <si>
    <t>Çift Zarlı Organeller Konu Anlatımı | 39 GÜNDE AYRINTILI TYT BİYOLOJİ KAMPI 2026-27 | 16</t>
  </si>
  <si>
    <t>TANZİMAT 2.DÖNEM SANATÇILARI | 31.Gün | 📌 2026 AYT Edebiyat Kampı</t>
  </si>
  <si>
    <t>SERVETİFÜNUN EDEBİYATI ÖZELLİKLERİ | 32.Gün | 📌 2026 AYT Edebiyat Kampı</t>
  </si>
  <si>
    <t>55 Günde TYT Matematik Kampı |16. Gün| I. Dereceden Denklemler | ÖSYM Yaklaşım Soruları 2027</t>
  </si>
  <si>
    <t>55 Günde TYT Matematik Kampı | 17. Gün | Basit Eşitsizlikler 1 | Konu Anlatımı 2027</t>
  </si>
  <si>
    <t>Atom ve Periyodik Sistem-5  Konu Anlatımı | 39 GÜNDE AYRINTILI TYT KİMYA KAMP 2026 | 8</t>
  </si>
  <si>
    <t>Atom ve Periyodik Sistem-5  Soru Çözümü | 39 GÜNDE AYRINTILI TYT KİMYA KAMP 2026 | 8</t>
  </si>
  <si>
    <t>Newton Hareket Yasaları - Hareket ve Kuvvet Soru Çözümü | 39 GÜNDE TYT FİZİK KAMPI 2026 | 8. Gün</t>
  </si>
  <si>
    <t>Sürtünme Kuvveti - Hareket ve Kuvvet | 39 GÜNDE TYT FİZİK KAMPI 2026 | 9. Gün</t>
  </si>
  <si>
    <t>SERVETİFÜNUN DÖNEMİ ROMAN VE SANATÇILARI | 33.Gün | 📌 2026 AYT Edebiyat Kampı</t>
  </si>
  <si>
    <t>SERVETİFÜNUN DÖNEMİ ŞİİRİ VE ŞAİRLERİ | 34.Gün | 📌 2026 AYT Edebiyat Kampı</t>
  </si>
  <si>
    <t>35) Türkiye Tarihi - 2| YKS-Tarih | Mehmet Celal ÖZYILDIZ - 2026</t>
  </si>
  <si>
    <t>36) Anadolu Selçuklu Kültür Uygarlık - 1 | YKS-Tarih | Mehmet Celal ÖZYILDIZ - 2026</t>
  </si>
  <si>
    <t>Çekirdek Hücre İskeleti Konu Anlatımı | 39 GÜNDE AYRINTILI TYT BİYOLOJİ KAMPI 2026-27 | 17</t>
  </si>
  <si>
    <t>Çekirdek Hücre İskeleti Soru Çözümü | 39 GÜNDE AYRINTILI TYT BİYOLOJİ KAMPI 2026-27 | 17</t>
  </si>
  <si>
    <t>📅 10. HAFTA PROGRAMI</t>
  </si>
  <si>
    <t>18) Noktalama İşaretleri - 3 | Aker KARTAL - 2027</t>
  </si>
  <si>
    <t>19) Noktalama İşaretleri | ÖSYM Analizi | Aker KARTAL - 2027</t>
  </si>
  <si>
    <t>Dünyanın Tektonik oluşumu Konu anlatımı | 39 GÜNDE AYRINTILI TYT COĞRAFYA KAMPI 2026 | 9</t>
  </si>
  <si>
    <t>Dünyanın Tektonik oluşumu Soru çözümü | 39 GÜNDE AYRINTILI TYT COĞRAFYA KAMPI 2026 | 9</t>
  </si>
  <si>
    <t>55 Günde TYT Matematik Kampı | 17. Gün | Basit Eşitsizlikler 2 | Konu Anlatımı 2027</t>
  </si>
  <si>
    <t>55 Günde TYT Matematik Kampı | 18. Gün | Basit Eşitsizlikler 3 | Konu Anlatımı 2027</t>
  </si>
  <si>
    <t>37) Anadolu Selçuklu Kültür Uygarlık - 2 | YKS-Tarih | Mehmet Celal ÖZYILDIZ - 2026</t>
  </si>
  <si>
    <t>38) Türkiye Tarihi | ÖSYM Analizi | YKS-Tarih | Mehmet Celal ÖZYILDIZ - 2026</t>
  </si>
  <si>
    <t>Bilimsel Yöntem Konu Anlatımı | 39 GÜNDE AYRINTILI TYT BİYOLOJİ KAMPI 2026-27 | 18</t>
  </si>
  <si>
    <t>Bilimsel Yöntem Organeller Soru Çözümü | 39 GÜNDE AYRINTILI TYT BİYOLOJİ KAMPI 2026-27 | 18</t>
  </si>
  <si>
    <t>FECRİATİ EDEBİYATI | 35.Gün | 📌 2026 AYT Edebiyat Kampı</t>
  </si>
  <si>
    <t>MİLLİ EDEBİYAT DÖNEMİ | 36.Gün | 📌 2026 AYT Edebiyat Kampı</t>
  </si>
  <si>
    <t>55 Günde TYT Matematik Kampı |18. Gün| Basit Eşitsizlikler | ÖSYM Yaklaşım Soruları 2027</t>
  </si>
  <si>
    <t>55 Günde TYT Matematik Kampı | 19. Gün | Mutlak Değer 1 | Konu Anlatımı 2027</t>
  </si>
  <si>
    <t>Kimyasal Türler Arası Etkileşimler-1 Konu Anlatımı | 39 GÜNDE AYRINTILI KAMP 2026 | 9</t>
  </si>
  <si>
    <t>Kimyasal Türler Arası Etkileşimler-1 Soru Çözümü  | 39 GÜNDE AYRINTILI TYT KİMYA KAMP 2026| 9</t>
  </si>
  <si>
    <t>Sürtünme Kuvveti - Hareket ve Kuvvet Soru Çözümü | 39 GÜNDE TYT FİZİK KAMPI 2026 | 9. Gün</t>
  </si>
  <si>
    <t>Hareket ve Kuvvet Soru Çözümü I  39 GÜNDE TYT FİZİK KAMPI 2026 I Ünite Tekrar Testi</t>
  </si>
  <si>
    <t>MİLLİ EDEBİYAT DÖNEMİ SANATÇILARI | 37.Gün | 📌 2026 AYT Edebiyat Kampı</t>
  </si>
  <si>
    <t>BEŞ HECECİLER | 38.Gün | 📌 2026 AYT Edebiyat Kampı</t>
  </si>
  <si>
    <t>39) Türkiye Tarihi | Soru Çözümü | YKS-Tarih | Mehmet Celal ÖZYILDIZ - 2026</t>
  </si>
  <si>
    <t>40) Osmanlı Kültür Uygarlık -1 | Merkez Teşkilat | YKS-Tarih | Mehmet Celal ÖZYILDIZ - 2026</t>
  </si>
  <si>
    <t>Hücre Genel Tekrar | 39 GÜNDE AYRINTILI TYT BİYOLOJİ KAMPI 2026-27 | 18</t>
  </si>
  <si>
    <t>Ekoloji İle İlgili Kavramlar | 39 GÜNDE AYRINTILI TYT BİYOLOJİ KAMPI 2026-27 | 19</t>
  </si>
  <si>
    <t>📅 11. HAFTA PROGRAMI</t>
  </si>
  <si>
    <t>20) Noktalama İşaretleri | Soru Çözümü | Aker KARTAL - 2027</t>
  </si>
  <si>
    <t>21) Noktalama İşaretleri | Sözün Özü | Aker KARTAL - 2027</t>
  </si>
  <si>
    <t>İç kuvvetler Konu anlatımı | 39 GÜNDE AYRINTILI TYT COĞRAFYA KAMPI 2026 | 10</t>
  </si>
  <si>
    <t>İç kuvvetler soru çözümü | 39 GÜNDE AYRINTILI TYT COĞRAFYA KAMPI 2026 | 10</t>
  </si>
  <si>
    <t>55 Günde TYT Matematik Kampı | 19. Gün | Mutlak Değer 2 | Konu Anlatımı 2027</t>
  </si>
  <si>
    <t>55 Günde TYT Matematik Kampı | 20. Gün | Mutlak Değer 3 | Konu Anlatımı 2027</t>
  </si>
  <si>
    <t>41) Osmanlı Kültür Uygarlık -2 | Divan-ı Hümayun | YKS-Tarih | Mehmet Celal ÖZYILDIZ - 2026</t>
  </si>
  <si>
    <t>42) Osmanlı Kültür Uygarlık -3 | Taşra Teşkilatı | YKS-Tarih | Mehmet Celal ÖZYILDIZ - 2026</t>
  </si>
  <si>
    <t>Ekosistemi Oluşturan Bileşenler | 39 GÜNDE AYRINTILI TYT BİYOLOJİ KAMPI 2026-27 | 20</t>
  </si>
  <si>
    <t>Besin Zinciri Besin Piramidi Konu Anlatımı | 39 GÜNDE AYRINTILI TYT BİYOLOJİ KAMPI 2026-27 | 21</t>
  </si>
  <si>
    <t>MİLLİ EDEBİYAT ZEVK ANLAYIŞINI DEVAM ETTİREN ŞİİR | 39.Gün | 📌 2026 AYT Edebiyat Kampı</t>
  </si>
  <si>
    <t>SAF ŞİİR VE SANATÇILARI | 40.Gün | 📌 2026 AYT Edebiyat Kampı</t>
  </si>
  <si>
    <t>55 Günde TYT Matematik Kampı |20. Gün| Mutlak Değer | ÖSYM Yaklaşım Soruları 2027</t>
  </si>
  <si>
    <t>55 Günde TYT Matematik Kampı | 21. Gün | Üslü Sayılar 1 | Konu Anlatımı 2027</t>
  </si>
  <si>
    <t>Kimyasal Türler Arası Etkileşimler-2 Yapısı Konu Anlatımı | 39 GÜNDE AYRINTILI KAMP 2026 | 10</t>
  </si>
  <si>
    <t>Kimyasal Türler Arası Etkileşimler-2 Soru Çözümü | 39 GÜNDE AYRINTILI KAMP 2026 | 10</t>
  </si>
  <si>
    <t>İş Güç Enerji Kavramları - İş Güç Enerji  | 39 GÜNDE TYT FİZİK KAMPI 2026 | 10. Gün</t>
  </si>
  <si>
    <t>Mekanik Enerji - İş Güç Enerji  | 39 GÜNDE TYT FİZİK KAMPI 2026 | 11. Gün</t>
  </si>
  <si>
    <t>YEDİ MEŞALECİLER | 41.Gün | 📌 2026 AYT Edebiyat Kampı</t>
  </si>
  <si>
    <t>TOPLUMCU ŞİİR  VE ŞAİRLERİ | 42.Gün | 📌 2026 AYT Edebiyat Kampı</t>
  </si>
  <si>
    <t>43) Osmanlı Kültür Uygarlık -4 | Askeri Teşkilat | YKS-Tarih | Mehmet Celal ÖZYILDIZ - 2026</t>
  </si>
  <si>
    <t>44) Osmanlı Kültür Uygarlık -5| Toprak Sistemi | YKS-Tarih | Mehmet Celal ÖZYILDIZ - 2026</t>
  </si>
  <si>
    <t>Besin Zinciri Besin Piramidi Soru Çözümü | 39 GÜNDE AYRINTILI TYT BİYOLOJİ KAMPI 2026-27 | 21</t>
  </si>
  <si>
    <t>Madde Döngüleri Konu Anlatımı | 39 GÜNDE AYRINTILI TYT BİYOLOJİ KAMPI 2026-27 | 22</t>
  </si>
  <si>
    <t>📅 12. HAFTA PROGRAMI</t>
  </si>
  <si>
    <t>22) Sözcükte Yapı | Kök Bilgisi - 1 | Aker KARTAL - 2027</t>
  </si>
  <si>
    <t>23) Sözcükte Yapı | Kök Bilgisi - 2 | Aker KARTAL - 2027</t>
  </si>
  <si>
    <t>Kayaçlar Konu anlatımı | 39 GÜNDE AYRINTILI TYT COĞRAFYA KAMPI 2026 | 11</t>
  </si>
  <si>
    <t>Kayaçlar soru çözümü | 39 GÜNDE AYRINTILI TYT COĞRAFYA KAMPI 2026 | 11</t>
  </si>
  <si>
    <t>55 Günde TYT Matematik Kampı | 21. Gün | Üslü Sayılar 2 | Konu Anlatımı 2027</t>
  </si>
  <si>
    <t>55 Günde TYT Matematik Kampı | 22. Gün | Üslü Sayılar 3 | Konu Anlatımı 2027</t>
  </si>
  <si>
    <t>45) Osmanlı Kültür Uygarlık - 6 | Maliye - Ekonomi | YKS-Tarih | Mehmet Celal ÖZYILDIZ - 2026</t>
  </si>
  <si>
    <t>46) Osmanlı Kültür Uygarlık - 7 | Lonca Teşkilatı | YKS-Tarih | Mehmet Celal ÖZYILDIZ - 2026</t>
  </si>
  <si>
    <t>Güncel Çevre Sorunları Konu Anlatımı | 39 GÜNDE AYRINTILI TYT BİYOLOJİ KAMPI 2026-27 | 22</t>
  </si>
  <si>
    <t>Madde Döngüleri ve Güncel Çevre Sorunları | 39 GÜNDE AYRINTILI TYT BİYOLOJİ KAMPI 2026-27 | 22</t>
  </si>
  <si>
    <t>GARİP AKIMI | 43.Gün | 📌 2026 AYT Edebiyat Kampı</t>
  </si>
  <si>
    <t>GARİP DIŞINDA YENİLİĞİ SÜRDÜREN ŞİİR | 44.Gün | 📌 2026 AYT Edebiyat Kampı</t>
  </si>
  <si>
    <t>55 Günde TYT Matematik Kampı |22. Gün| Üslü Sayılar | ÖSYM Yaklaşım Soruları 2027</t>
  </si>
  <si>
    <t>55 Günde TYT Matematik Kampı | 23. Gün | Köklü Sayılar 1 | Konu Anlatımı 2027</t>
  </si>
  <si>
    <t>Kimyasal Türler Arası Etkileşimler-3 Konu Anlatımı | 39 GÜNDE AYRINTILI KAMP 2026 | 11</t>
  </si>
  <si>
    <t>Kimyasal Türler Arası Etkileşimler-3 Soru Çözümü | 39 GÜNDE AYRINTILI KAMP 2026 | 11</t>
  </si>
  <si>
    <t>Mekanik Enerji - İş Güç Enerji Soru Çözümü | 39 GÜNDE TYT FİZİK KAMPI 2026 | 11. Gün</t>
  </si>
  <si>
    <t>Enerji Korunumu ve Verimlilik - İş Güç Enerji  | 39 GÜNDE TYT FİZİK KAMPI 2026 | 12. Gün</t>
  </si>
  <si>
    <t>İKİNCİ YENİ ŞAİRLERİ VE ESERLERİ | 45.Gün | 📌 2026 AYT Edebiyat Kampı</t>
  </si>
  <si>
    <t>İKİNCİ YENİ SONRASI TOPLUMCU EĞİLMCİ ŞİİR | 46.Gün | 📌 2026 AYT Edebiyat Kampı</t>
  </si>
  <si>
    <t>47) Osmanlı Kültür Uygarlık - 8 | Eğitim | YKS-Tarih | Mehmet Celal ÖZYILDIZ - 2026</t>
  </si>
  <si>
    <t>48) Osmanlı Kültür Uygarlık -9 | Hukuk | YKS-Tarih | Mehmet Celal ÖZYILDIZ - 2026</t>
  </si>
  <si>
    <t>Ekosistem Ekolojisi Genel Tekrar-Full Tekrar | 39 GÜNDE AYRINTILI TYT BİYOLOJİ KAMPI 2026-27 | 22</t>
  </si>
  <si>
    <t>İkili Adlandırma Konu Anlatımı | 39 GÜNDE AYRINTILI TYT BİYOLOJİ KAMPI 2026-27 | 23</t>
  </si>
  <si>
    <t>📅 13. HAFTA PROGRAMI</t>
  </si>
  <si>
    <t>24) Sözcükte Yapı | Kök Bilgisi - Etkinlik | ÖSYM Analizi | Aker KARTAL - 2027</t>
  </si>
  <si>
    <t>25) Sözcükte Yapı | Kök Bilgisi | ÖSYM Analizi | Aker KARTAL - 2027</t>
  </si>
  <si>
    <t>Türkiye'de iç kuvvetler Konu anlatımı | 39 GÜNDE AYRINTILI TYT COĞRAFYA KAMPI 2026 | 12</t>
  </si>
  <si>
    <t>Türkiye'de iç kuvvetler soru çözümü | 39 GÜNDE AYRINTILI TYT COĞRAFYA KAMPI 2026 | 12</t>
  </si>
  <si>
    <t>55 Günde TYT Matematik Kampı | 23. Gün | Köklü Sayılar 2 | Konu Anlatımı 2027</t>
  </si>
  <si>
    <t>55 Günde TYT Matematik Kampı | 24. Gün | Köklü Sayılar 3 | Konu Anlatımı 2027</t>
  </si>
  <si>
    <t>49) Osmanlı Kültür Uygarlık -10 | Bilim Adamları | YKS-Tarih | Mehmet Celal ÖZYILDIZ - 2026</t>
  </si>
  <si>
    <t>50) Osmanlı Kültür Uygarlık -11 | Sanat-Müzik-Resim | YKS-Tarih | Mehmet Celal ÖZYILDIZ - 2026</t>
  </si>
  <si>
    <t>İkili Adlandırma Soru Çözümü | 39 GÜNDE AYRINTILI TYT BİYOLOJİ KAMPI 2026-27 | 23</t>
  </si>
  <si>
    <t>Bakteriler Alemi Konu Anlatımı| 39 GÜNDE AYRINTILI TYT BİYOLOJİ KAMPI 2026-27 | 24</t>
  </si>
  <si>
    <t>HİSARCILAR VE ÖZELLİKLERİ | 47.Gün | 📌 2026 AYT Edebiyat Kampı</t>
  </si>
  <si>
    <t>MAVİCİLER VE ÖZELLİKLERİ  | 47.Gün | 📌 2026 AYT Edebiyat Kampı</t>
  </si>
  <si>
    <t>55 Günde TYT Matematik Kampı |24. Gün| Köklü Sayılar | ÖSYM Yaklaşım Soruları 2027</t>
  </si>
  <si>
    <t>55 Günde TYT Matematik Kampı | 25. Gün |Çarpanlara Ayırma 1 | Konu Anlatımı 2026</t>
  </si>
  <si>
    <t>Kimyasal Türler Arası Etkileşimler-4 Konu Anlatımı | 39 GÜNDE AYRINTILI KİMYA KAMPI 2026 | 12</t>
  </si>
  <si>
    <t>Kimyasal Türler Arası Etkileşimler-4 Soru Çözümü | 39 GÜNDE AYRINTILI KAMP 2026 | 12</t>
  </si>
  <si>
    <t>Enerji Korunumu ve Verimlilik - İş Güç Enerji Soru Çözümü  | 39 GÜNDE TYT FİZİK KAMPI 2026 | 12. Gün</t>
  </si>
  <si>
    <t>İş Güç Enerji Soru Çözümü I  39 GÜNDE TYT FİZİK KAMPI 2026 I Ünite Tekrar Testi</t>
  </si>
  <si>
    <t>DİNİ DEĞERLERE VE GELENEKLERE BAĞLI ŞİİR | 48.Gün | 📌 2026 AYT Edebiyat Kampı</t>
  </si>
  <si>
    <t>1980 SONRASI ŞİİR | 49.Gün | 📌 2026 AYT Edebiyat Kampı</t>
  </si>
  <si>
    <t>51) Osmanlı Kültür Uygarlık -12 | Mimari | YKS-Tarih | Mehmet Celal ÖZYILDIZ - 2026</t>
  </si>
  <si>
    <t>52) Osmanlı Kültür Uygarlık | ÖSYM Analizi | YKS-Tarih | Mehmet Celal ÖZYILDIZ - 2026</t>
  </si>
  <si>
    <t>Arkeler Alemi Konu Anlatımı ve Soru Çözümü | 39 GÜNDE AYRINTILI TYT BİYOLOJİ KAMPI 2026-27 | 25</t>
  </si>
  <si>
    <t>Protista Bitki Mantar Alemi | 39 GÜNDE AYRINTILI TYT BİYOLOJİ KAMPI 2026-27 | 26</t>
  </si>
  <si>
    <t>📅 14. HAFTA PROGRAMI</t>
  </si>
  <si>
    <t>26) Sözcükte Yapı | Ekler - 1 | Aker KARTAL - 2027</t>
  </si>
  <si>
    <t>27) Sözcükte Yapı | Ekler - 2 | Aker KARTAL - 2026</t>
  </si>
  <si>
    <t>Dış kuvvetler Akarsular Konu anlatım ve soru çözüm | 39 GÜNDE AYRINTILI TYT COĞRAFYA KAMPI 2026 | 13</t>
  </si>
  <si>
    <t>Dış kuvvetler Karstik şekiller Konu + soru çözüm | 39 GÜNDE AYRINTILI TYT COĞRAFYA KAMPI 2026 | 14</t>
  </si>
  <si>
    <t>55 Günde TYT Matematik Kampı | 25. Gün |Çarpanlara Ayırma 2 | Konu Anlatımı 2026</t>
  </si>
  <si>
    <t>55 Günde TYT Matematik Kampı |25. Gün| Çarpanlara Ayırma 3 | ÖSYM Yaklaşım Soruları 2026</t>
  </si>
  <si>
    <t>53) Osmanlı Kültür Uygarlık | Soru Çözümü | YKS-Tarih | Mehmet Celal ÖZYILDIZ - 2026</t>
  </si>
  <si>
    <t>54) Beylikten Devlete Osmanlı (Kuruluş) | YKS-Tarih | Mehmet Celal ÖZYILDIZ - 2026</t>
  </si>
  <si>
    <t>Protista Bitki Mantar Alemi Soru Çözümü | 39 GÜNDE AYRINTILI TYT BİYOLOJİ KAMPI 2026-27 | 26</t>
  </si>
  <si>
    <t>Omurgasız Hayvanlar Konu Anlatımı | 39 GÜNDE AYRINTILI TYT BİYOLOJİ KAMPI 2026-2027 | 27</t>
  </si>
  <si>
    <t>CUMHURİYET DÖNEMİ HALK ŞİİRİ | 50.Gün | 📌 2026 AYT Edebiyat Kampı</t>
  </si>
  <si>
    <t>CUMHURİYET DÖNEMİ ROMAN | 51.Gün | 📌 2026 AYT Edebiyat Kampı</t>
  </si>
  <si>
    <t>55 Günde TYT Matematik Kampı | 26. Gün | Oran-Orantı 1 | Konu Anlatımı 2026</t>
  </si>
  <si>
    <t>55 Günde TYT Matematik Kampı | 26. Gün | Oran-Orantı 2 | Konu Anlatımı 2026</t>
  </si>
  <si>
    <t>Kimyasal Türler Arası Etkileşimler-5 Konu Anlatımı | 39 GÜNDE AYRINTILI KİMYA KAMPI 2026 | 13</t>
  </si>
  <si>
    <t>Kimyasal Türler Arası Etkileşimler-5 Soru Çözümü | 39 GÜNDE AYRINTILI KİMYA KAMPI 2026 | 13</t>
  </si>
  <si>
    <t>Isı Sıcaklık İç Enerji - Isı Sıcaklık  | 39 GÜNDE TYT FİZİK KAMPI 2026 | 13. Gün</t>
  </si>
  <si>
    <t>Isı Sıcaklık İç Enerji Soru Çözümü - Isı Sıcaklık  | 39 GÜNDE TYT FİZİK KAMPI 2026 | 13. Gün</t>
  </si>
  <si>
    <t>MİLLİ VE DİNİ DUYARLILIĞI YANSITAN ESERLER | 52.Gün | 📌 2026 AYT Edebiyat Kampı</t>
  </si>
  <si>
    <t>TOPLUMCU GERÇEKÇİ SANATÇILAR VE ESERLERİ- 1 I 53.Gün | 📌 2026 AYT Edebiyat Kampı</t>
  </si>
  <si>
    <t>55) Osmanlı'nın Kısa Sürede Büyümesinin Sebepleri | YKS-Tarih | Mehmet Celal ÖZYILDIZ - 2026</t>
  </si>
  <si>
    <t>56) Beylikten Devlete Osmanlı (Kuruluş)|Osman Gazi-Orhan Gazi |YKS-Tarih| Mehmet Celal ÖZYILDIZ-2026</t>
  </si>
  <si>
    <t>Omurgalı Hayvanlar ve Virüsler Konu Anlatımı | 39 GÜNDE AYRINTILI TYT BİYOLOJİ KAMPI 2026-2027 | 28</t>
  </si>
  <si>
    <t>Omurgalı Hayvanlar ve Virüsler Soru Çözümü | 39 GÜNDE AYRINTILI TYT BİYOLOJİ KAMPI 2026-2027 | 28</t>
  </si>
  <si>
    <t>📅 15. HAFTA PROGRAMI</t>
  </si>
  <si>
    <t>28) Sözcükte Yapı | Ekler | ÖSYM Analizi | Aker KARTAL - 2027</t>
  </si>
  <si>
    <t>29) Sözcükte Yapı | Yapı Bilgisi | Aker KARTAL - 2027</t>
  </si>
  <si>
    <t>Rüzgar ve buzul Konu anlatım ve soru çözüm | 39 GÜNDE AYRINTILI TYT COĞRAFYA KAMPI 2026 | 15</t>
  </si>
  <si>
    <t>Dalga ve Akıntılar - Kıyı tipleri | 39 GÜNDE AYRINTILI TYT COĞRAFYA KAMPI 2026 | 16</t>
  </si>
  <si>
    <t>55 Günde TYT Matematik Kampı |26. Gün| Oran-Orantı 3 | ÖSYM Yaklaşım Soruları 2026</t>
  </si>
  <si>
    <t>55 Günde TYT Matematik Kampı | 27. Gün | Denklem Kurma Problemleri-1| Konu Anlatımı 2026</t>
  </si>
  <si>
    <t>57) Beylikten Devlete Osmanlı (Kuruluş) | 1.Murad | YKS-Tarih | Mehmet Celal ÖZYILDIZ - 2026</t>
  </si>
  <si>
    <t>58) Beylikten Devlete Osmanlı (Kuruluş) | 1. Bayezid | YKS-Tarih | Mehmet Celal ÖZYILDIZ - 2026</t>
  </si>
  <si>
    <t>Sınıflandırma Genel Tekrar | 39 GÜNDE AYRINTILI TYT BİYOLOJİ KAMPI 2026-2027 | 28</t>
  </si>
  <si>
    <t>Bölünme İle İlgili Kavramlar Konu Anlatımı | 39 GÜNDE AYRINTILI TYT BİYOLOJİ KAMPI 2026-2027 | 29</t>
  </si>
  <si>
    <t>TOPLUMCU GERÇEKÇİ SANATÇILAR VE ESERLERİ- 2 | 54.Gün | 📌 2026 AYT Edebiyat Kampı</t>
  </si>
  <si>
    <t>BİREYİN İÇ DÜNYASINI ESAS ALAN SANATÇILAR VE ESERLERİ| 55.Gün | 📌 2026 AYT Edebiyat Kampı</t>
  </si>
  <si>
    <t>55 Günde TYT Matematik Kampı | 27. Gün | Denklem Kurma Problemleri-2 | Konu Anlatımı 2026</t>
  </si>
  <si>
    <t>55 Günde TYT Matematik Kampı |28. Gün| Denklem Kurma Problemleri 3 | ÖSYM Yaklaşım Soruları 2026</t>
  </si>
  <si>
    <t>Kimyasal Türler Arası Etkileşimler-6 Konu Anlatımı | 39 GÜNDE AYRINTILI KİMYA KAMPI 2026 | 14</t>
  </si>
  <si>
    <t>Kimyasal Türler Arası Etkileşimler-6 Soru Çözümü | 39 GÜNDE AYRINTILI KİMYA KAMPI 2026 | 14</t>
  </si>
  <si>
    <t>Öz Isı - Isı Sığası - Hal Değişimi  | Isı Sıcaklık | 39 GÜNDE TYT FİZİK KAMPI 2026 | 14. Gün</t>
  </si>
  <si>
    <t>Öz Isı - Isı Sığası - Hal Değişimi  Soru Çözümü | 39 GÜNDE TYT FİZİK KAMPI 2026 | 14. Gün</t>
  </si>
  <si>
    <t>MODERNİZMİ ESAS ALAN SANATÇILARI VE ESERLERİ | 56.Gün | 📌 2026 AYT Edebiyat Kampı</t>
  </si>
  <si>
    <t>MODERNİZMİ ESAS ALAN SANATÇILARI VE ESERLERİ - 2 | 57.Gün | 📌 2026 AYT Edebiyat Kampı</t>
  </si>
  <si>
    <t>59) Beylikten Devlete Osmanlı(Kuruluş)|Çelebi Mehmed-II.Murad |YKS-Tarih|Mehmet Celal ÖZYILDIZ-2026</t>
  </si>
  <si>
    <t>60) Osmanlı Yükselme Dönemi | Fatih Sultan Mehmed | YKS-Tarih | Mehmet Celal ÖZYILDIZ - 2026</t>
  </si>
  <si>
    <t>Mitoz Konu Anlatımı | 39 GÜNDE AYRINTILI TYT BİYOLOJİ KAMPI 2026-2027 | 30</t>
  </si>
  <si>
    <t>Mitoz Soru Çözümü | 39 GÜNDE AYRINTILI TYT BİYOLOJİ KAMPI 2026-2027 | 30</t>
  </si>
  <si>
    <t>📅 16. HAFTA PROGRAMI</t>
  </si>
  <si>
    <t>30) Sözcükte Yapı | Yapı Bilgisi | ÖSYM Analizi | Aker KARTAL - 2027</t>
  </si>
  <si>
    <t>31) Sözcükte Yapı | Yapı Bilgisi | Soru Çözümü | Aker KARTAL - 2027</t>
  </si>
  <si>
    <t>Türkiye'de Dış Kuvvetler konu anlatım ve soru çözüm | 39 GÜNDE AYRINTILI TYT COĞRAFYA KAMPI 2026 |17</t>
  </si>
  <si>
    <t>Türkiye'nin yer şekilleri konu anlatımı | 39 GÜNDE AYRINTILI TYT COĞRAFYA KAMPI 2026 | 18</t>
  </si>
  <si>
    <t>55 Günde TYT Matematik Kampı |28. Gün| Denklem Kurma Problemleri 4 | ÖSYM Yaklaşım Soruları 2026</t>
  </si>
  <si>
    <t>55 Günde TYT Matematik Kampı | 29. Gün | Kesir Problemleri 1 | Konu Anlatımı 2026</t>
  </si>
  <si>
    <t>61) Osmanlı Yükselme Dönemi | Fatih Sultan Mehmed | YKS-Tarih | Mehmet Celal ÖZYILDIZ - 2026</t>
  </si>
  <si>
    <t>62) Osmanlı Yükselme Dönemi | II.Bayezid | YKS-Tarih | Mehmet Celal ÖZYILDIZ - 2026</t>
  </si>
  <si>
    <t>Mayoz Konu Anlatımı | 39 GÜNDE AYRINTILI TYT BİYOLOJİ KAMPI 2026-2027 | 31</t>
  </si>
  <si>
    <t>Eşeysiz Üreme Konu Anlatımı | 39 GÜNDE AYRINTILI TYT BİYOLOJİ KAMPI 2026-2027 | 31</t>
  </si>
  <si>
    <t>CUMHURİYET DÖNEMİ TİYATROSU VE SANATÇILARI | 58.Gün | 📌 2026 AYT Edebiyat Kampı</t>
  </si>
  <si>
    <t>CUMHURİYET DÖNEMİ ÖĞRETİCİ METİNLER | 59.Gün | 📌 2026 AYT Edebiyat Kampı</t>
  </si>
  <si>
    <t>55 Günde TYT Matematik Kampı |29. Gün| KESİR PROBLEMLERİ 2 | ÖSYM Yaklaşım Soruları 2026</t>
  </si>
  <si>
    <t>55 Günde TYT Matematik Kampı | 30. Gün | Yaş Problemleri 1 | Konu Anlatımı 2026</t>
  </si>
  <si>
    <t>Maddenin Halleri-1 Konu Anlatımı | 39 GÜNDE AYRINTILI KİMYA KAMPI 2026 | 15</t>
  </si>
  <si>
    <t>Maddenin Halleri-1 Maddenin Soru Çözümü | 39 GÜNDE AYRINTILI KİMYA KAMPI 2026 | 15</t>
  </si>
  <si>
    <t>Enerji İletimi ve Genleşme - Isı Sıcaklık   | 39 GÜNDE TYT FİZİK KAMPI 2026 | 15. Gün</t>
  </si>
  <si>
    <t>Enerji İletimi ve Genleşme Soru Çözümü - Isı Sıcaklık   | 39 GÜNDE TYT FİZİK KAMPI 2026 | 15. Gün</t>
  </si>
  <si>
    <t>AYT Coğrafya</t>
  </si>
  <si>
    <t>39 GÜNDE AYT COĞRAFYA AYRINTILI KAMP 2026 | ZEDUVA</t>
  </si>
  <si>
    <t>Biyoçeşitlilik Konu Anlatımı | 39 GÜNDE AYT COĞRAFYA KAMPI 2026 | 11.sınıf Coğrafya | ZEDUVA</t>
  </si>
  <si>
    <t>63) Osmanlı Yükselme Dönemi | Yavuz Sultan Selim | YKS-Tarih | Mehmet Celal ÖZYILDIZ - 2026</t>
  </si>
  <si>
    <t>64) Osmanlı Yükselme Dönemi | Kanuni Sultan Süleyman | YKS-Tarih | Mehmet Celal ÖZYILDIZ - 2026</t>
  </si>
  <si>
    <t>Mayoz Soru Çözümü | 39 GÜNDE AYRINTILI TYT BİYOLOJİ KAMPI 2026-2027 | 31</t>
  </si>
  <si>
    <t>Eşeyli Üreme Konu Anlatımı | 39 GÜNDE AYRINTILI TYT BİYOLOJİ KAMPI 2026-2027 | 32</t>
  </si>
  <si>
    <t>📅 17. HAFTA PROGRAMI</t>
  </si>
  <si>
    <t>32) Sözcükte Yapı | Sözün Özü | Aker KARTAL - 2027</t>
  </si>
  <si>
    <t>33) Sözcük Türleri | İsim ve Tamlamalar - 1 | Aker KARTAL - 2027</t>
  </si>
  <si>
    <t>Türkiye'nin yer şekilleri soru çözümü | 39 GÜNDE AYRINTILI TYT COĞRAFYA KAMPI 2026 | 18</t>
  </si>
  <si>
    <t>Dünya'da sular konu anlatımı ve soru çözüm | 39 GÜNDE AYRINTILI TYT COĞRAFYA KAMPI 2026 | 19</t>
  </si>
  <si>
    <t>55 Günde TYT Matematik Kampı |30. Gün| Yaş Problemleri 2 | ÖSYM Yaklaşım Soruları 2026</t>
  </si>
  <si>
    <t>55 Günde TYT Matematik Kampı | 31. Gün | Yüzde Problemleri 1 | Konu Anlatımı 2026</t>
  </si>
  <si>
    <t>65) Osmanlı Yükselme Dönemi | Kanuni Sultan Süleyman - 2 | YKS-Tarih | Mehmet Celal ÖZYILDIZ - 2026</t>
  </si>
  <si>
    <t>66) Osmanlı Duraklama Dönemi | Sebepler | YKS-Tarih | Mehmet Celal ÖZYILDIZ - 2026</t>
  </si>
  <si>
    <t>Eşeyli Üreme Soru Çözümü | 39 GÜNDE AYRINTILI TYT BİYOLOJİ KAMPI 2026-2027 | 32</t>
  </si>
  <si>
    <t>Hücre Bölünmeleri Full Tekrar | 39 GÜNDE AYRINTILI TYT BİYOLOJİ KAMPI 2026-2027 | 32</t>
  </si>
  <si>
    <t>Konu Tekrarı &amp; Soru Çözümü</t>
  </si>
  <si>
    <t>55 Günde TYT Matematik Kampı |31. Gün| Yüzde Problemleri 2 | ÖSYM Yaklaşım Soruları 2026</t>
  </si>
  <si>
    <t>55 Günde TYT Matematik Kampı | 32. Gün | Kâr-Zarar Problemleri 1 | Konu Anlatımı 2026</t>
  </si>
  <si>
    <t>Maddenin Halleri-2 Konu Anlatımı | 39 GÜNDE AYRINTILI KİMYA KAMPI 2026 | 16</t>
  </si>
  <si>
    <t>Maddenin Halleri-2 Soru Çözümü | 39 GÜNDE AYRINTILI KİMYA KAMPI 2026 | 16</t>
  </si>
  <si>
    <t>Isı Sıcaklık Soru Çözümü I  39 GÜNDE TYT FİZİK KAMPI 2026 I Ünite Tekrar Testi</t>
  </si>
  <si>
    <t>Elektrostatik - Elektrik ve Manyetizma I  39 GÜNDE TYT FİZİK KAMPI 2026 I 16. Gün</t>
  </si>
  <si>
    <t>Biyoçeşitlilik Soru Çözümü | 39 GÜNDE AYT COĞRAFYA KAMPI 2026 | 11.sınıf Coğrafya | ZEDUVA</t>
  </si>
  <si>
    <t>Biyomlar Konu Anlatımı | 39 GÜNDE AYT COĞRAFYA KAMPI 2026 | 11.sınıf Coğrafya | ZEDUVA</t>
  </si>
  <si>
    <t>67) Osmanlı Duraklama Dönemi | Siyasi Olaylar -1 | YKS-Tarih | Mehmet Celal ÖZYILDIZ - 2026</t>
  </si>
  <si>
    <t>68) Osmanlı Duraklama Dönemi | Siyasi Olaylar -2 | YKS-Tarih | Mehmet Celal ÖZYILDIZ - 2026</t>
  </si>
  <si>
    <t>Kalıtımla İlgili Kavramlar Gamet Çeşiti Bulma | 39 GÜNDE AYRINTILI TYT BİYOLOJİ KAMPI 2026-2027 | 33</t>
  </si>
  <si>
    <t>Çaprazlamalar | 39 GÜNDE AYRINTILI TYT BİYOLOJİ KAMPI 2026-2027 | 34</t>
  </si>
  <si>
    <t>📅 18. HAFTA PROGRAMI</t>
  </si>
  <si>
    <t>34) Sözcük Türleri | İsim ve Tamlamalar - 2 | Aker KARTAL - 2027</t>
  </si>
  <si>
    <t>35) Sözcük Türleri | Zamirler | Aker KARTAL - 2027</t>
  </si>
  <si>
    <t>Türkiye'de sular konu anlatımı ve soru çözümü | 39 GÜNDE AYRINTILI TYT COĞRAFYA KAMPI 2026 | 20</t>
  </si>
  <si>
    <t>Dünya'da topraklar konu anlatımı ve soru çözümü | 39 GÜNDE AYRINTILI TYT COĞRAFYA KAMPI 2026 | 21</t>
  </si>
  <si>
    <t>55 Günde TYT Matematik Kampı |32. Gün| Kâr-Zarar Problemleri 2 | ÖSYM Yaklaşım Soruları 2026</t>
  </si>
  <si>
    <t>55 Günde TYT Matematik Kampı | 33. Gün | Karışım Problemleri 1 | Konu Anlatımı 2026</t>
  </si>
  <si>
    <t>69) Osmanlı Duraklama Dönemi | İsyanlar Ve Islahatlar-1 | YKS-Tarih | Mehmet Celal ÖZYILDIZ - 2026</t>
  </si>
  <si>
    <t>70) Osmanlı Duraklama Dönemi | İsyanlar Ve Islahatlar-2 | YKS-Tarih | Mehmet Celal ÖZYILDIZ - 2026</t>
  </si>
  <si>
    <t>Çaprazlamalar  Soru Çözümü | 39 GÜNDE AYRINTILI TYT BİYOLOJİ KAMPI 2026-2027 | 34</t>
  </si>
  <si>
    <t>Eş baskınlık Çok Alellik Konu Anlatımı | 39 GÜNDE AYRINTILI TYT BİYOLOJİ KAMPI 2026-2027 | 35</t>
  </si>
  <si>
    <t>55 Günde TYT Matematik Kampı |33. Gün| Karışım Problemleri 2 | ÖSYM Yaklaşım Soruları 2026</t>
  </si>
  <si>
    <t>55 Günde TYT Matematik Kampı |34. Gün| Karışım Problemleri 2 | ÖSYM Yaklaşım Soruları 2026</t>
  </si>
  <si>
    <t>Maddenin Halleri-3 Konu Anlatımı  | 39 GÜNDE AYRINTILI KİMYA KAMPI 2026 | 17</t>
  </si>
  <si>
    <t>Maddenin Halleri-3 Soru Çözümü  | 39 GÜNDE AYRINTILI KİMYA KAMPI 2026 | 17</t>
  </si>
  <si>
    <t>Elektrostatik Soru Çözümü - Elektrik ve Manyetizma I  39 GÜNDE TYT FİZİK KAMPI 2026 I 16. Gün</t>
  </si>
  <si>
    <t>Elektroskop ve Topraklama - Elektrik ve Manyetizma I  39 GÜNDE TYT FİZİK KAMPI 2026 I 17. Gün</t>
  </si>
  <si>
    <t>Biyomlar Soru Çözümü | 39 GÜNDE AYT COĞRAFYA KAMPI 2026 | 11.sınıf Coğrafya | ZEDUVA</t>
  </si>
  <si>
    <t>Ekosistem ve Madde döngüleri | 39 GÜNDE AYT COĞRAFYA KAMPI 2026 | 11.sınıf coğrafya | ZEDUVA</t>
  </si>
  <si>
    <t>71) Osmanlı Kuruluş - Yükselme - Duraklama | Soru Çözümü | YKS-Tarih | Mehmet Celal ÖZYILDIZ - 2026</t>
  </si>
  <si>
    <t>72) Osmanlı Kuruluş - Yükselme - Duraklama | ÖSYM Analizi | YKS-Tarih | Mehmet Celal ÖZYILDIZ - 2026</t>
  </si>
  <si>
    <t>Kan Grupları Konu Anlatımı | 39 GÜNDE AYRINTILI TYT BİYOLOJİ KAMPI 2026-2027 | 36</t>
  </si>
  <si>
    <t>Kan Grupları Soru Çözümü| 39 GÜNDE AYRINTILI TYT BİYOLOJİ KAMPI 2026-2027 | 36</t>
  </si>
  <si>
    <t>📅 19. HAFTA PROGRAMI</t>
  </si>
  <si>
    <t>36) Sözcük Türleri | Sıfatlar (Ön Adlar) | Aker KARTAL - 2027</t>
  </si>
  <si>
    <t>37) Sözcük Türleri | Zarflar | Aker KARTAL - 2027</t>
  </si>
  <si>
    <t>Türkiye'de topraklar konu anlatımı ve soru çözümü | 39 GÜNDE AYRINTILI TYT COĞRAFYA KAMPI 2026 | 22</t>
  </si>
  <si>
    <t>Dünya'da bitkiler konu anlatımı ve soru çözümü | 39 GÜNDE AYRINTILI TYT COĞRAFYA KAMPI 2026 | 23</t>
  </si>
  <si>
    <t>55 Günde TYT Matematik Kampı | 34. Gün | İşçi Problemleri 1 | Konu Anlatımı 2026</t>
  </si>
  <si>
    <t>55 Günde TYT Matematik Kampı | 35. Gün | Hareket Problemleri 1 | Konu Anlatımı 2026</t>
  </si>
  <si>
    <t>73) Değişen Dünya Dengelerinde Osmanlı Siyaseti (Gerileme Dönemi)-1|YKS-Tarih|Mehmet Celal ÖZYILDIZ</t>
  </si>
  <si>
    <t>74) Değişen Dünya Dengelerinde Osmanlı Siyaseti (Gerileme Dönemi)-2|YKS-Tarih|Mehmet Celal ÖZYILDIZ</t>
  </si>
  <si>
    <t>Eşeye Bağlı Kalıtım| 39 GÜNDE AYRINTILI TYT BİYOLOJİ KAMPI 2026-2027 | 37</t>
  </si>
  <si>
    <t>Otozomal Çekinik Baskın | 39 GÜNDE AYRINTILI TYT BİYOLOJİ KAMPI 2026-2027 | 38</t>
  </si>
  <si>
    <t>55 Günde TYT Matematik Kampı | 35. Gün | Hareket Problemleri 2 | Konu Anlatımı 2026</t>
  </si>
  <si>
    <t>55 Günde TYT Matematik Kampı | 36. Gün | Hareket Problemleri 3 | Konu Anlatımı 2026</t>
  </si>
  <si>
    <t>Maddenin Halleri-4 Konu Anlatımı | 39 GÜNDE AYRINTILI KİMYA KAMPI 2026 | 18</t>
  </si>
  <si>
    <t>Maddenin Halleri-4 Soru Bankası | 39 GÜNDE AYRINTILI KİMYA KAMPI 2026 | 18</t>
  </si>
  <si>
    <t>Elektrik Alan ve Elektriksel Kuvvet I  39 GÜNDE TYT FİZİK KAMPI 2026 I 18. Gün</t>
  </si>
  <si>
    <t>Elektrik Alan ve Elektriksel Kuvvet Soru Çözümü I  39 GÜNDE TYT FİZİK KAMPI 2026 I 18. Gün</t>
  </si>
  <si>
    <t>Ekosistem ve Madde döngüleri soru çözüm | 39 GÜNDE AYT COĞRAFYA KAMPI 2026 | 11.sınıf coğrafya</t>
  </si>
  <si>
    <t>Nüfus Politikaları | 39 GÜNDE AYT COĞRAFYA KAMPI 2026 | 11.sınıf coğrafya | ZEDUVA</t>
  </si>
  <si>
    <t>75) Değişen Dünya Dengelerinde Osmanlı Siyaseti (Gerileme Dönemi)-3|YKS-Tarih|Mehmet Celal ÖZYILDIZ</t>
  </si>
  <si>
    <t>76) Değişen Dünya Dengelerinde Osmanlı Siyaseti (Gerileme Dönemi)-4|YKS-Tarih|Mehmet Celal ÖZYILDIZ</t>
  </si>
  <si>
    <t>X ve Y'ye Bağlı Kalıtım | 39 GÜNDE AYRINTILI TYT BİYOLOJİ KAMPI 2026-2027 | 39</t>
  </si>
  <si>
    <t>Soy Ağaçları Soru Çözümü | 39 GÜNDE AYRINTILI TYT BİYOLOJİ KAMPI 2026-2027 | 39</t>
  </si>
  <si>
    <t>📅 20. HAFTA PROGRAMI</t>
  </si>
  <si>
    <t>38) Sözcük Türleri | Edat (İlgeç) ve Bağlaç | Aker KARTAL - 2027</t>
  </si>
  <si>
    <t>39) Sözcük Türleri | ÖSYM Analizi | Aker KARTAL - 2027</t>
  </si>
  <si>
    <t>Türkiye'de bitkiler konu anlatımı ve soru çözümü | 39 GÜNDE AYRINTILI TYT COĞRAFYA KAMPI 2026 | 24</t>
  </si>
  <si>
    <t>Dünya'da Yerleşmeler konu anlatımı ve soru çözümü | 39 GÜNDE AYRINTILI TYT COĞRAFYA KAMPI 2026 | 25</t>
  </si>
  <si>
    <t>55 Günde TYT Matematik Kampı |36. Gün| Hareket Problemleri 4 | ÖSYM Yaklaşım Soruları 2026</t>
  </si>
  <si>
    <t>55 Günde TYT Matematik Kampı | 37. Gün | Mantık 1 | Konu Anlatımı 2026</t>
  </si>
  <si>
    <t>77)Uluslararası İlişkilerde Denge Stratejisi(Osmanlı Dağılma Dönemi)-1|YKS-Tarih| M. Celal ÖZYILDIZ</t>
  </si>
  <si>
    <t>78)Uluslararası İlişkilerde Denge Stratejisi(Osmanlı Dağılma Dönemi)-2|YKS-Tarih| M. Celal ÖZYILDIZ</t>
  </si>
  <si>
    <t>Kalıtım Genel Tekrar  | 39 GÜNDE AYRINTILI TYT BİYOLOJİ KAMPI 2026-2027 | 39</t>
  </si>
  <si>
    <t>MSÜ 2026 Biyoloji'de ne sorarlar? MSÜ Biyoloji Analizi | Zeduva</t>
  </si>
  <si>
    <t>55 Günde TYT Matematik Kampı | 37. Gün | Mantık 2 | Konu Anlatımı 2026</t>
  </si>
  <si>
    <t>55 Günde TYT Matematik Kampı | 38. Gün | Mantık 3 | Konu Anlatımı 2026</t>
  </si>
  <si>
    <t>Doğa ve Kimya Konu Anlatımı | 39 GÜNDE AYRINTILI KİMYA KAMPI 2026 | 19</t>
  </si>
  <si>
    <t>Doğa ve Kimya Soru Çözümü | 39 GÜNDE AYRINTILI KİMYA KAMPI 2026 | 19</t>
  </si>
  <si>
    <t>Potansiyel Fark- Akım Şiddeti- Direnç I  39 GÜNDE TYT FİZİK KAMPI 2026 I 19. Gün</t>
  </si>
  <si>
    <t>Seri Devreler I  39 GÜNDE TYT FİZİK KAMPI 2026 I 20. Gün</t>
  </si>
  <si>
    <t>Nüfus Politikaları soru çözüm | 39 GÜNDE AYT COĞRAFYA KAMPI 2026 | 11.sınıf coğrafya</t>
  </si>
  <si>
    <t>Türkiye'nin Nüfus Politikaları Konu + Soru | 39 GÜNDE AYT COĞRAFYA KAMPI 2026 | 11.sınıf coğrafya</t>
  </si>
  <si>
    <t>79)Uluslararası İlişkilerde Denge Stratejisi(Osmanlı Dağılma Dönemi)-3|YKS-Tarih| M. Celal ÖZYILDIZ</t>
  </si>
  <si>
    <t>80)Uluslararası İlişkilerde Denge Stratejisi(Osmanlı Dağılma Dönemi)-4 |YKS-Tarih| M. Celal ÖZYILDIZ</t>
  </si>
  <si>
    <t>MSÜ-TYT Biyoloji Son Full Tekrar - ZEDUVA 1 Kitap 3 Kamp</t>
  </si>
  <si>
    <t>114 Soruyla TYT Biyoloji Deneme Çözümü | Son Full Tekrar Biosem | Zeduva</t>
  </si>
  <si>
    <t>📅 21. HAFTA PROGRAMI</t>
  </si>
  <si>
    <t>40) Sözcük Türleri | Soru Çözümü | Aker KARTAL - 2027</t>
  </si>
  <si>
    <t>41) Sözcük Türleri | Sözün Özü | Aker KARTAL - 2027</t>
  </si>
  <si>
    <t>Türkiye'de Yerleşmeler konu anlatımı ve soru çözüm | 39 GÜNDE AYRINTILI TYT COĞRAFYA KAMPI 2026 | 26</t>
  </si>
  <si>
    <t>Nüfusun önemi ve özellikleri konu + soru | 39 GÜNDE AYRINTILI TYT COĞRAFYA KAMPI 2026 | 27</t>
  </si>
  <si>
    <t>55 Günde TYT Matematik Kampı |38. Gün| Mantık 4 | ÖSYM Yaklaşım Soruları 2026</t>
  </si>
  <si>
    <t>55 Günde TYT Matematik Kampı | 39. Gün | Kümeler 1 | Konu Anlatımı 2026</t>
  </si>
  <si>
    <t>81)Uluslararası İlişkilerde Denge Stratejisi(Osmanlı Dağılma Dönemi)-5 |YKS-Tarih|M. Celal ÖZYILDIZ</t>
  </si>
  <si>
    <t>82)Uluslararası İlişkilerde Denge Stratejisi(Osmanlı Dağılma Dönemi)-6 |YKS-Tarih|M. Celal ÖZYILDIZ</t>
  </si>
  <si>
    <t>55 Günde TYT Matematik Kampı | 39. Gün | Kümeler 2 | Konu Anlatımı 2026</t>
  </si>
  <si>
    <t>55 Günde TYT Matematik Kampı | 39. Gün | Kümeler 3 | Konu Anlatımı 2026</t>
  </si>
  <si>
    <t>Kimyanın Temel Kanunları-1 Konu Anlatımı | 39 GÜNDE AYRINTILI KİMYA KAMPI 2026 | 20</t>
  </si>
  <si>
    <t>Kimyanın Temel Kanunları-1 Soru Çözümü | 39 GÜNDE AYRINTILI KİMYA KAMPI 2026 | 20</t>
  </si>
  <si>
    <t>Paralel Devreler I  39 GÜNDE TYT FİZİK KAMPI 2026 I 21. Gün</t>
  </si>
  <si>
    <t>Elektrik Devreleri Soru Çözümü I  39 GÜNDE TYT FİZİK KAMPI 2026 I 21. Gün</t>
  </si>
  <si>
    <t>Şehirlerin fonksiyonları ve etki alanları | 39 GÜNDE AYT COĞRAFYA KAMPI 2026 | 11.sınıf coğrafya</t>
  </si>
  <si>
    <t>Şehirlerin foksiyonları ve etki alanları soru çözüm | 39 GÜNDE AYT COĞRAFYA KAMPI 2026</t>
  </si>
  <si>
    <t>83) Tanzimat Dönemi | Abdülmecid Islahatları | YKS-Tarih | Mehmet Celal ÖZYILDIZ -2026</t>
  </si>
  <si>
    <t>84) Tanzimat Dönemi | Abdülaziz Islahatları | YKS-Tarih | Mehmet Celal ÖZYILDIZ -2026</t>
  </si>
  <si>
    <t>Tekrar &amp; Soru Çözümü</t>
  </si>
  <si>
    <t>📅 22. HAFTA PROGRAMI</t>
  </si>
  <si>
    <t>42) Fiiller | Ek Eylem | Aker KARTAL - 2027</t>
  </si>
  <si>
    <t>43) Fiilimsiler | Fiilde Çatı | Aker KARTAL - 2027</t>
  </si>
  <si>
    <t>Dünya'da nüfusun dağılışı konu + soru | 39 GÜNDE AYRINTILI TYT COĞRAFYA KAMPI 2026 | 28</t>
  </si>
  <si>
    <t>Nüfus piramitleri konu + soru | 39 GÜNDE AYRINTILI TYT COĞRAFYA KAMPI 2026 | 29</t>
  </si>
  <si>
    <t>55 Günde TYT Matematik Kampı | 40. Gün | Kartezyen Çarpım 4 | Konu Anlatımı 2026</t>
  </si>
  <si>
    <t>55 Günde TYT Matematik Kampı |38. Gün| Kümeler 5 | ÖSYM Yaklaşım Soruları 2026</t>
  </si>
  <si>
    <t>85) Osmanlı Dağılma Dönemi | II.Abdülhamid | YKS-Tarih | Mehmet Celal ÖZYILDIZ -2026</t>
  </si>
  <si>
    <t>86) Osmanlı Devleti'nde Dağılmayı Önleme Çabaları - 1 | YKS-Tarih | Mehmet Celal ÖZYILDIZ -2026</t>
  </si>
  <si>
    <t>55 Günde TYT Matematik Kampı | 41. Gün | Fonksiyonlar 1 | Konu Anlatımı 2026</t>
  </si>
  <si>
    <t>55 Günde TYT Matematik Kampı | 41. Gün | Fonksiyonlar 2 | Konu Anlatımı 2026</t>
  </si>
  <si>
    <t>Kimyanın Temel Kanunları-2 Konu Anlatımı | 39 GÜNDE AYRINTILI KİMYA KAMPI 2026 | 21</t>
  </si>
  <si>
    <t>Kimyanın Temel Kanunları-2 Soru Çözümü | 39 GÜNDE AYRINTILI KİMYA KAMPI 2026 | 21</t>
  </si>
  <si>
    <t>Lamba Parlaklığı I  39 GÜNDE TYT FİZİK KAMPI 2026 I 22. Gün</t>
  </si>
  <si>
    <t>Manyetizma I  39 GÜNDE TYT FİZİK KAMPI 2026 I 23. Gün</t>
  </si>
  <si>
    <t>Türkiye'de şehirlerin fonksiyonları konu-soru | 39 GÜNDE AYT COĞRAFYA KAMPI 2026 | 11.sınıf coğrafya</t>
  </si>
  <si>
    <t>Türkiye'de kırsal yerleşmeler konu - soru | 39 GÜNDE AYT COĞRAFYA KAMPI 2026 | 11.sınıf coğrafya</t>
  </si>
  <si>
    <t>87) Osmanlı Devleti'nde Dağılmayı Önleme Çabaları - 2 | YKS-Tarih | Mehmet Celal ÖZYILDIZ -2026</t>
  </si>
  <si>
    <t>88) Osmanlı Devleti'nde Dağılmayı Önleme Çabaları - 3| II.Meşrutiyet|YKS-Tarih|Mehmet Celal ÖZYILDIZ</t>
  </si>
  <si>
    <t>📅 23. HAFTA PROGRAMI</t>
  </si>
  <si>
    <t>44) Fiilimsiler | ÖSYM Analizi | Aker KARTAL - 2027</t>
  </si>
  <si>
    <t>45) Fiiller | Soru Çözümü | Aker KARTAL - 2027</t>
  </si>
  <si>
    <t>Türkiye'de nüfus konu anlatımı | 39 GÜNDE AYRINTILI TYT COĞRAFYA KAMPI 2026 | 30</t>
  </si>
  <si>
    <t>Türkiye'de nüfus soru çözümü | 39 GÜNDE AYRINTILI TYT COĞRAFYA KAMPI 2026 | 30</t>
  </si>
  <si>
    <t>55 Günde TYT Matematik Kampı | 42. Gün | Fonksiyonlar 3 | Konu Anlatımı 2026</t>
  </si>
  <si>
    <t>55 Günde TYT Matematik Kampı | 42. Gün | Fonksiyonlar 4 | Konu Anlatımı 2026</t>
  </si>
  <si>
    <t>89) Osmanlı Devleti'nde Dağılmayı Önleme Çabaları - 4 | Fikir Akımları |YKS-Tarih|M. Celal ÖZYILDIZ</t>
  </si>
  <si>
    <t>90) Osmanlı Devleti Dağılma Dönemi | ÖSYM Analizi | YKS-Tarih | Mehmet Celal ÖZYILDIZ -2026</t>
  </si>
  <si>
    <t>55 Günde TYT Matematik Kampı | 43. Gün | Fonksiyonlar 5 | Konu Anlatımı 2026</t>
  </si>
  <si>
    <t>55 Günde TYT Matematik Kampı | 43. Gün | Fonksiyonlar 6 | Konu Anlatımı 2026</t>
  </si>
  <si>
    <t>Kimyanın Temel Kanunları-3 (Mol Kavramı) Konu Anlatımı | 39 GÜNDE AYRINTILI KİMYA KAMPI 2026 | 22</t>
  </si>
  <si>
    <t>Kimyanın Temel Kanunları-3 (Mol Kavramı) Soru Çözümü | 39 GÜNDE AYRINTILI KİMYA KAMPI 2026 | 22</t>
  </si>
  <si>
    <t>Manyetizma Soru Çözümü I  39 GÜNDE TYT FİZİK KAMPI 2026 I 23. Gün</t>
  </si>
  <si>
    <t>Elektrik ve Manyetizma Soru Çözümü I  39 GÜNDE TYT FİZİK KAMPI 2026 I Ünite Tekrar Testi</t>
  </si>
  <si>
    <t>Üretim, Dağıtım ve Tüketim konu + soru | 39 GÜNDE AYT COĞRAFYA KAMPI 2026 | 11.sınıf coğrafya</t>
  </si>
  <si>
    <t>Doğal kaynak ekonomi ilişkisi konu anlatımı | 39 GÜNDE AYT COĞRAFYA KAMPI 2026 | 11.sınıf coğrafya</t>
  </si>
  <si>
    <t>91) Osmanlı Devleti Dağılma Dönemi | Soru Çözümü | YKS-Tarih | Mehmet Celal ÖZYILDIZ -2026</t>
  </si>
  <si>
    <t>92) Trablusgarp Savaşısı | YKS-Tarih | Mehmet Celal ÖZYILDIZ -2026</t>
  </si>
  <si>
    <t>📅 24. HAFTA PROGRAMI</t>
  </si>
  <si>
    <t>46) Fiiller | Sözün Özü | Aker KARTAL - 2027</t>
  </si>
  <si>
    <t>47) Cümle Türleri | Aker KARTAL - 2027</t>
  </si>
  <si>
    <t>Dünya ve Türkiye'de göçler konu anlatımı | 39 GÜNDE AYRINTILI TYT COĞRAFYA KAMPI 2026 | 31</t>
  </si>
  <si>
    <t>Dünya ve Türkiye'de göçler soru çözümü | 39 GÜNDE AYRINTILI TYT COĞRAFYA KAMPI 2026 | 31</t>
  </si>
  <si>
    <t>55 Günde TYT Matematik Kampı | 43. Gün | Fonksiyonlar 7 | Konu Anlatımı 2026</t>
  </si>
  <si>
    <t>55 Günde TYT Matematik Kampı | 44. Gün | Fonksiyonlar 8 | Konu Anlatımı 2026</t>
  </si>
  <si>
    <t>93) I. Balkan Savaşısı | YKS-Tarih | Mehmet Celal ÖZYILDIZ -2026</t>
  </si>
  <si>
    <t>94) II. Balkan Savaşısı | YKS-Tarih | Mehmet Celal ÖZYILDIZ -2026</t>
  </si>
  <si>
    <t>55 Günde TYT Matematik Kampı | 44. Gün | Fonksiyonlar 9 | Konu Anlatımı 2026</t>
  </si>
  <si>
    <t>55 Günde TYT Matematik Kampı | 45. Gün | Fonksiyonlar 10 | Konu Anlatımı 2026</t>
  </si>
  <si>
    <t>Kimyanın Temel Kanunları-4 (Mol Kavramı) Konu Anlatımı | 39 GÜNDE AYRINTILI KİMYA KAMPI 2026 | 23</t>
  </si>
  <si>
    <t>Kimyanın Temel Kanunları-4 (Mol Kavramı) Soru Çözümü | 39 GÜNDE AYRINTILI KİMYA KAMPI 2026 | 23</t>
  </si>
  <si>
    <t>Katı Basıncı I  39 GÜNDE TYT FİZİK KAMPI 2026 I 24. Gün</t>
  </si>
  <si>
    <t>Sıvı Basıncı I  39 GÜNDE TYT FİZİK KAMPI 2026 I 25. Gün</t>
  </si>
  <si>
    <t>Doğal kaynak ekonomi ilişkisi soru çözümü | 39 GÜNDE AYT COĞRAFYA KAMPI 2026 | 11.sınıf coğrafya</t>
  </si>
  <si>
    <t>Türkiye'nin ekonomi politikaları konu - soru | 39 GÜNDE AYT COĞRAFYA KAMPI 2026 | 11.sınıf coğrafya</t>
  </si>
  <si>
    <t>95) I. Dünya Savaşısı | YKS-Tarih | Mehmet Celal ÖZYILDIZ -2026</t>
  </si>
  <si>
    <t>96) I. Dünya Savaşısı | Gizli Antlaşmalar | YKS-Tarih | Mehmet Celal ÖZYILDIZ -2026</t>
  </si>
  <si>
    <t>📅 25. HAFTA PROGRAMI</t>
  </si>
  <si>
    <t>48) Cümlenin Ögeleri | Aker KARTAL - 2027</t>
  </si>
  <si>
    <t>49) Cümlenin Ögeleri | ÖSYM Analizi | Aker KARTAL - 2027</t>
  </si>
  <si>
    <t>Ekonomik faaliyetler konu + soru | 39 GÜNDE AYRINTILI TYT COĞRAFYA KAMPI 2026 | 32</t>
  </si>
  <si>
    <t>Bölge ve bölge türleri konu + soru | 39 GÜNDE AYRINTILI TYT COĞRAFYA KAMPI 2026 | 33</t>
  </si>
  <si>
    <t>55 Günde TYT Matematik Kampı | 45. Gün | Fonksiyonlar 11 | Konu Anlatımı 2026</t>
  </si>
  <si>
    <t>55 Günde TYT Matematik Kampı | 46. Gün | Fonksiyonlar 12 | ÖSYM Yaklaşım soruları 1</t>
  </si>
  <si>
    <t>97) Mustafa Kemal'in Hayatı | YKS-Tarih | Mehmet Celal ÖZYILDIZ - 2026</t>
  </si>
  <si>
    <t>98) I. Dünya Savaşısı | Osmanlı Cepheler | YKS-Tarih | Mehmet Celal ÖZYILDIZ -2026</t>
  </si>
  <si>
    <t>55 Günde TYT Matematik Kampı | 46. Gün | Fonksiyonlar 13 | ÖSYM Yaklaşım soruları 2</t>
  </si>
  <si>
    <t>55 Günde TYT Matematik Kampı | 46. Gün | Fonksiyonlar 14 | ÖSYM Yaklaşım soruları 3</t>
  </si>
  <si>
    <t>Kimyanın Temel Kanunları-5 Konu Anlatımı | 39 GÜNDE AYRINTILI KİMYA KAMPI 2026 | 24</t>
  </si>
  <si>
    <t>Kimyanın Temel Kanunları-5 Soru Çözümü | 39 GÜNDE AYRINTILI KİMYA KAMPI 2026 | 24</t>
  </si>
  <si>
    <t>Sıvı Basıncı Soru Çözümü I  39 GÜNDE TYT FİZİK KAMPI 2026 I 25. Gün</t>
  </si>
  <si>
    <t>Atmosfer ve Gaz Basıncı I  39 GÜNDE TYT FİZİK KAMPI 2026 I 26. Gün</t>
  </si>
  <si>
    <t>Türkiye'de Tarım konu anlatımı | 39 GÜNDE AYT COĞRAFYA KAMPI 2026 | 11.sınıf coğrafya</t>
  </si>
  <si>
    <t>Türkiye'de Tarım soru çözümü | 39 GÜNDE AYT COĞRAFYA KAMPI 2026 | 11.sınıf coğrafya</t>
  </si>
  <si>
    <t>99) I. Dünya Savaşısı | Osmanlı Savunma Cepheleri | YKS-Tarih | Mehmet Celal ÖZYILDIZ -2026</t>
  </si>
  <si>
    <t>100) I. Dünya Savaşısı | Çanakkale Cephesi | YKS-Tarih | Mehmet Celal ÖZYILDIZ - 2026</t>
  </si>
  <si>
    <t>📅 26. HAFTA PROGRAMI</t>
  </si>
  <si>
    <t>50) Cümlenin Ögeleri | Cümle Türleri | Soru Çözümü | Aker KARTAL - 2027</t>
  </si>
  <si>
    <t>51) Cümlenin Ögeleri | Cümle Türleri | Sözün Özü | Aker KARTAL - 2027</t>
  </si>
  <si>
    <t>Ulaşım konu anlatım ve soru çözümü | 39 GÜNDE AYRINTILI TYT COĞRAFYA KAMPI 2026 | 34</t>
  </si>
  <si>
    <t>Çevre ve Toplum konu anlatım ve soru çözümü | 39 GÜNDE AYRINTILI TYT COĞRAFYA KAMPI 2026 | 35</t>
  </si>
  <si>
    <t>55 Günde TYT Matematik Kampı | 47. Gün | Veri İstatistik- Grafik Problemleri 1 | Konu Anlatımı 2026</t>
  </si>
  <si>
    <t>55 Günde TYT Matematik Kampı | 47. Gün | Veri İstatistik- Grafik Problemleri 2 | Konu Anlatımı 2026</t>
  </si>
  <si>
    <t>101) I. Dünya Savaşısı | Wilson İlkeleri | YKS-Tarih | Mehmet Celal ÖZYILDIZ - 2026</t>
  </si>
  <si>
    <t>102) I. Dünya Savaşısı | Mondros Ateşkes Antlaşması Ve İşgaller |YKS-Tarih| M.Celal ÖZYILDIZ - 2026</t>
  </si>
  <si>
    <t>55 Günde TYT Matematik Kampı |48. Gün| Veri İstatistik- Grafik Problemleri 3| ÖSYM Yaklaşım soruları</t>
  </si>
  <si>
    <t>55 Günde TYT Matematik Kampı | 49. Gün | Permütasyon 1 | Konu Anlatımı 2026</t>
  </si>
  <si>
    <t>Kimyanın Temel Kanunları-6 Konu Anlatımı | 39 GÜNDE AYRINTILI KİMYA KAMPI 2026 | 25</t>
  </si>
  <si>
    <t>Kimyanın Temel Kanunları-6 Soru Çözümü | 39 GÜNDE AYRINTILI KİMYA KAMPI 2026 | 25</t>
  </si>
  <si>
    <t>Akışkan Basıncı I  39 GÜNDE TYT FİZİK KAMPI 2026 I 27. Gün</t>
  </si>
  <si>
    <t>Gaz-Akışkan Basıncı Soru Çözümü I  39 GÜNDE TYT FİZİK KAMPI 2026 I 27. Gün</t>
  </si>
  <si>
    <t>Türkiye'de Hayvancılık konu anlatımı | 39 GÜNDE AYT COĞRAFYA KAMPI 2026 | 11.sınıf coğrafya</t>
  </si>
  <si>
    <t>Türkiye'de Madenler konu anlatımı | 39 GÜNDE AYT COĞRAFYA KAMPI 2026 | 11.sınıf coğrafya</t>
  </si>
  <si>
    <t>103)XX. Yüzyıl Başlarında Osmanlı Devleti Ve Dünya | Cemiyetler |YKS-Tarih| M. Celal ÖZYILDIZ - 2026</t>
  </si>
  <si>
    <t>104) İzmir'in İşgali - Kuvayı Milliye - Raporlar | YKS-Tarih | Mehmet Celal ÖZYILDIZ - 2026</t>
  </si>
  <si>
    <t>📅 27. HAFTA PROGRAMI</t>
  </si>
  <si>
    <t>52) Anlatım Bozukluğu | Aker KARTAL - 2027</t>
  </si>
  <si>
    <t>53) Dil Bilgisi | Karma Soru Çözümü | Aker KARTAL - 2027</t>
  </si>
  <si>
    <t>Afetler konu anlatımı | 39 GÜNDE AYRINTILI TYT COĞRAFYA KAMPI 2026 | 36</t>
  </si>
  <si>
    <t>Afetler soru çözümü | 39 GÜNDE AYRINTILI TYT COĞRAFYA KAMPI 2026 | 36</t>
  </si>
  <si>
    <t>55 Günde TYT Matematik Kampı | 49. Gün | Permütasyon 2 | Konu Anlatımı 2026</t>
  </si>
  <si>
    <t>55 Günde TYT Matematik Kampı | 50. Gün | Permütasyon 3 | Konu Anlatımı 2026</t>
  </si>
  <si>
    <t>105) XX. Yüzyıl Başlarında Osmanlı Devleti | ÖSYM Analizi | YKS-Tarih | Mehmet Celal ÖZYILDIZ - 2026</t>
  </si>
  <si>
    <t>106) XX. Yüzyıl Başlarında Osmanlı Devleti | Soru Çözümü | YKS-Tarih | Mehmet Celal ÖZYILDIZ - 2026</t>
  </si>
  <si>
    <t>55 Günde TYT Matematik Kampı |50. Gün| Permütasyon 4 | ÖSYM Yaklaşım Soruları</t>
  </si>
  <si>
    <t>55 Günde TYT Matematik Kampı | 51. Gün | Kombinasyon 1 | Konu Anlatımı 2026</t>
  </si>
  <si>
    <t>Kimyanın Temel Kanunları-7 Konu Anlatımı | 39 GÜNDE AYRINTILI KİMYA KAMPI 2026 | 26</t>
  </si>
  <si>
    <t>Kimyanın Temel Kanunları-7 Soru Çözümü | 39 GÜNDE AYRINTILI KİMYA KAMPI 2026 | 26</t>
  </si>
  <si>
    <t>Kaldırma Kuvveti I  39 GÜNDE TYT FİZİK KAMPI 2026 I 28. Gün</t>
  </si>
  <si>
    <t>Kaldırma Kuvveti Soru Çözümü I  39 GÜNDE TYT FİZİK KAMPI 2026 I 28. Gün</t>
  </si>
  <si>
    <t>Türkiye'de Madenler soru çözümü | 39 GÜNDE AYT COĞRAFYA KAMPI 2026 | 11.sınıf coğrafya</t>
  </si>
  <si>
    <t>Türkiye'de Enerji Kaynakları konu + soru | 39 GÜNDE AYT COĞRAFYA KAMPI 2026 | 11.sınıf coğrafya</t>
  </si>
  <si>
    <t>107) Milli Mücadele Örgütlenme Dönemi | YKS-Tarih | Mehmet Celal ÖZYILDIZ - 2026</t>
  </si>
  <si>
    <t>108) Milli Mücadele Örgütlenme Dönemi | Amasya Genelgesi | YKS-Tarih | Mehmet Celal ÖZYILDIZ - 2026</t>
  </si>
  <si>
    <t>📅 28. HAFTA PROGRAMI</t>
  </si>
  <si>
    <t>54) Sözcükte Anlam - 1 | Aker KARTAL - 2027</t>
  </si>
  <si>
    <t>55) Sözcükte Anlam - 2 | Aker KARTAL - 2027</t>
  </si>
  <si>
    <t>Dünya'nın şekli ve hareketleri konu anlatımı | 39 GÜNDE AYRINTILI TYT COĞRAFYA KAMPI 2026 | 37</t>
  </si>
  <si>
    <t>Dünya'nın şekli ve hareketleri soru çözümü | 39 GÜNDE AYRINTILI TYT COĞRAFYA KAMPI 2026 | 37</t>
  </si>
  <si>
    <t>55 Günde TYT Matematik Kampı | 51. Gün | Kombinasyon 2 | Konu Anlatımı 2026</t>
  </si>
  <si>
    <t>55 Günde TYT Matematik Kampı | 52. Gün | Kombinasyon 3 | Konu Anlatımı 2026</t>
  </si>
  <si>
    <t>109) Milli Mücadele Örgütlenme Dönemi - 3 | Erzurum Kongresi |YKS-Tarih| Mehmet Celal ÖZYILDIZ-2026</t>
  </si>
  <si>
    <t>110) Milli Mücadele Örgütlenme Dönemi - 4 | Sivas Kongresi | YKS-Tarih | Mehmet Celal ÖZYILDIZ-2026</t>
  </si>
  <si>
    <t>55 Günde TYT Matematik Kampı |52. Gün| Kombinasyon 4 | ÖSYM Yaklaşım Soruları</t>
  </si>
  <si>
    <t>55 Günde TYT Matematik Kampı |53. Gün| Binom 2| ÖSYM Yaklaşım Soruları</t>
  </si>
  <si>
    <t>Kimyanın Temel Kanunları-8 Konu Anlatımı | 39 GÜNDE AYRINTILI KİMYA KAMPI 2026 | 27</t>
  </si>
  <si>
    <t>Kimyanın Temel Kanunları-8 Soru Çözümü | 39 GÜNDE AYRINTILI KİMYA KAMPI 2026 | 27</t>
  </si>
  <si>
    <t>Basınç ve Kaldırma Kuvveti I  39 GÜNDE TYT FİZİK KAMPI 2026 I Ünite Tekrar Testi</t>
  </si>
  <si>
    <t>Dalga Kavramları I  39 GÜNDE TYT FİZİK KAMPI 2026 I 29. Gün</t>
  </si>
  <si>
    <t>Türkiye'de Sanayi Konu anlatımı | 39 GÜNDE AYT COĞRAFYA KAMPI 2026 | 11.sınıf coğrafya</t>
  </si>
  <si>
    <t>Türkiye'de sanayi soru çözümü | 39 GÜNDE AYT COĞRAFYA KAMPI 2026 | 11.sınıf coğrafya</t>
  </si>
  <si>
    <t>111) Milli Mücadele Örgütlenme Dönemi - 5 | Amasya Protokolü  |YKS-Tarih| Mehmet Celal ÖZYILDIZ-2026</t>
  </si>
  <si>
    <t>112) Son Osmanlı Mebusan Meclisi - Misak-ı Milli | YKS-Tarih | Mehmet Celal ÖZYILDIZ - 2026</t>
  </si>
  <si>
    <t>📅 29. HAFTA PROGRAMI</t>
  </si>
  <si>
    <t>56) Sözcükte Anlam - 3 | Aker KARTAL - 2027</t>
  </si>
  <si>
    <t>57) Cümlede Anlam - 1 | Anlamlarına Göre Cümleler | Aker KARTAL - 2027</t>
  </si>
  <si>
    <t>Coğrafi konum konu anlatımı | 39 GÜNDE AYRINTILI TYT COĞRAFYA KAMPI 2026 | 38</t>
  </si>
  <si>
    <t>Coğrafi konum soru çözümü | 39 GÜNDE AYRINTILI TYT COĞRAFYA KAMPI 2026 | 38</t>
  </si>
  <si>
    <t>55 Günde TYT Matematik Kampı | 53. Gün | Binom 1 | Konu Anlatımı 2026</t>
  </si>
  <si>
    <t>55 Günde TYT Matematik Kampı | 54. Gün | Olasılık 1 | Konu Anlatımı 2026</t>
  </si>
  <si>
    <t>113) Milli Mücadele Örgütlenme Dönemi | ÖSYM Analizi | YKS-Tarih | Mehmet Celal ÖZYILDIZ - 2026</t>
  </si>
  <si>
    <t>114) Milli Mücadele Örgütlenme Dönemi | Soru Çözümü | YKS-Tarih | Mehmet Celal ÖZYILDIZ - 2026</t>
  </si>
  <si>
    <t>55 Günde TYT Matematik Kampı | 54. Gün | Olasılık 2 | Konu Anlatımı 2026</t>
  </si>
  <si>
    <t>55 Günde TYT Matematik Kampı | 55. Gün | Olasılık 3 | Konu Anlatımı 2026</t>
  </si>
  <si>
    <t>Karışımlar-1 Konu Anlatımı | 39 GÜNDE AYRINTILI KİMYA KAMPI 2026 | 28</t>
  </si>
  <si>
    <t>Karışımlar-2 Konu Anlatımı | 39 GÜNDE AYRINTILI KİMYA KAMPI 2026 | 29</t>
  </si>
  <si>
    <t>Yay Dalgaları I  39 GÜNDE TYT FİZİK KAMPI 2026 I 30. Gün</t>
  </si>
  <si>
    <t>Yay Dalgaları Soru Çözümü I  39 GÜNDE TYT FİZİK KAMPI 2026 I 30. Gün</t>
  </si>
  <si>
    <t>Kültür bölgeleri konu anlatımı ve soru çözümü | 39 GÜNDE AYT COĞRAFYA KAMPI 2026 | 11.sınıf coğrafya</t>
  </si>
  <si>
    <t>Türk kültürü konu anlatımı ve soru çözümü | 39 GÜNDE AYT COĞRAFYA KAMPI 2026 | 11.sınıf coğrafya</t>
  </si>
  <si>
    <t>115) I. TBMM'nin Açılması | YKS-Tarih | Mehmet Celal ÖZYILDIZ - 2026</t>
  </si>
  <si>
    <t>116) I. TBMM'ye Karşı İsyanlar | YKS-Tarih | Mehmet Celal ÖZYILDIZ - 2026</t>
  </si>
  <si>
    <t>📅 30. HAFTA PROGRAMI</t>
  </si>
  <si>
    <t>58) Cümlede Anlam - 2 | Aker KARTAL - 2027</t>
  </si>
  <si>
    <t>59) Cümlede Anlam - 3 | Kesin Yargı - Cümle Birleştirme | Aker KARTAL - 2027</t>
  </si>
  <si>
    <t>Harita bilgisi konu anlatımı | 39 GÜNDE AYRINTILI TYT COĞRAFYA KAMPI 2026 | 39</t>
  </si>
  <si>
    <t>Harita bilgisi soru çözümü | 39 GÜNDE AYRINTILI TYT COĞRAFYA KAMPI 2026 | 39</t>
  </si>
  <si>
    <t>55 Günde TYT Matematik Kampı | 55. Gün | Olasılık 4 | Konu Anlatımı 2026</t>
  </si>
  <si>
    <t>55 Günde TYT Matematik Kampı |55. Gün| Olasılık 5 | ÖSYM Yaklaşım Soruları</t>
  </si>
  <si>
    <t>117) Sevr Barış Antlaşması | YKS-Tarih | Mehmet Celal ÖZYILDIZ - 2026</t>
  </si>
  <si>
    <t>118) Kurtuluş Savaşısı Cepheler | YKS-Tarih | Mehmet Celal ÖZYILDIZ - 2026</t>
  </si>
  <si>
    <t>Karışımlar-1 ve 2  Soru Çözümü | 39 GÜNDE AYRINTILI KİMYA KAMPI 2026 | 28-29</t>
  </si>
  <si>
    <t>Karışımlar-3 Konu Anlatımı | 39 GÜNDE AYRINTILI KİMYA KAMPI 2026 | 30</t>
  </si>
  <si>
    <t>Su Dalgaları I  39 GÜNDE TYT FİZİK KAMPI 2026 I 31. Gün</t>
  </si>
  <si>
    <t>Ses ve Deprem Dalgaları I  39 GÜNDE TYT FİZİK KAMPI 2026 I 32. Gün</t>
  </si>
  <si>
    <t>Küresel Ticaret konu anlatımı ve soru çözümü | 39 GÜNDE AYT COĞRAFYA KAMPI 2026 | 11.sınıf coğrafya</t>
  </si>
  <si>
    <t>Turizm ve Sanayileşme konu anlatımı | 39 GÜNDE AYT COĞRAFYA KAMPI 2026 | 11.sınıf coğrafya</t>
  </si>
  <si>
    <t>119) I. İnönü Savaşısı | YKS-Tarih | Mehmet Celal ÖZYILDIZ - 2026</t>
  </si>
  <si>
    <t>120) II. İnönü Savaşısı Ve Kütahya Eskişehir Savaşısı | YKS-Tarih | Mehmet Celal ÖZYILDIZ - 2026</t>
  </si>
  <si>
    <t>📅 31. HAFTA PROGRAMI</t>
  </si>
  <si>
    <t>60) Paragrafta Anlam | Anlatım Biçimleri | Aker KARTAL - 2027</t>
  </si>
  <si>
    <t>61) Paragrafta Anlam | Anlatım Özellikleri | Aker KARTAL - 2027</t>
  </si>
  <si>
    <t>121) Sakarya Savaşısı | YKS-Tarih | Mehmet Celal ÖZYILDIZ - 2026</t>
  </si>
  <si>
    <t>122) Büyük Taarrruz | YKS-Tarih | Mehmet Celal ÖZYILDIZ - 2026</t>
  </si>
  <si>
    <t>Karışımlar-3 Soru Çözümü | 39 GÜNDE AYRINTILI KİMYA KAMPI 2026 | 30</t>
  </si>
  <si>
    <t>Karışımlar-4 Konu Anlatımı | 39 GÜNDE AYRINTILI KİMYA KAMPI 2026 | 31</t>
  </si>
  <si>
    <t>Ses ve Deprem Dalgaları Soru Çözümü I  39 GÜNDE TYT FİZİK KAMPI 2026 I 32. Gün</t>
  </si>
  <si>
    <t>Dalgalar I  39 GÜNDE TYT FİZİK KAMPI 2026 I Ünite Tekrar Testi</t>
  </si>
  <si>
    <t>Turizm ve Sanayileşme süreci soru çözümü | 39 GÜNDE AYT COĞRAFYA KAMPI 2026 | 11.sınıf coğrafya</t>
  </si>
  <si>
    <t>Küresel ve Bölgesel Örgütler konu anlatımı | 39 GÜNDE AYT COĞRAFYA KAMPI 2026 | 11.sınıf coğrafya</t>
  </si>
  <si>
    <t>123) Büyük Taarrruz | YKS-Tarih | Mehmet Celal ÖZYILDIZ - 2026</t>
  </si>
  <si>
    <t>124) Lozan Barış Antlaşması - 1 | YKS-Tarih | Mehmet Celal ÖZYILDIZ - 2026</t>
  </si>
  <si>
    <t>📅 32. HAFTA PROGRAMI</t>
  </si>
  <si>
    <t>62) Paragrafta Anlam | Anlatım Biçimleri ve Özellikleri | Soru Çözüm | Aker KARTAL - 2027</t>
  </si>
  <si>
    <t>63) Paragrafta Anlam | Akışı Bozan ve İkiye Bölme | Aker KARTAL - 2027</t>
  </si>
  <si>
    <t>125) Lozan Barış Antlaşması - 2 | YKS-Tarih | Mehmet Celal ÖZYILDIZ - 2026</t>
  </si>
  <si>
    <t>126) Lozan Barış Antlaşması - 3 | YKS-Tarih | Mehmet Celal ÖZYILDIZ - 2026</t>
  </si>
  <si>
    <t>Karışımlar-4 Soru Çözümü | 39 GÜNDE AYRINTILI KİMYA KAMPI 2026 | 31</t>
  </si>
  <si>
    <t>Karışımlar-5 Konu Anlatımı | 39 GÜNDE AYRINTILI KİMYA KAMPI 2026 | 32</t>
  </si>
  <si>
    <t>Aydınlanma-Akı  39 GÜNDE TYT FİZİK KAMPI 2026 I 33. Gün</t>
  </si>
  <si>
    <t>Gölge - Yarı Gölge 39 GÜNDE TYT FİZİK KAMPI 2026 I 34. Gün</t>
  </si>
  <si>
    <t>Küresel ve Bölgesel Örgütler soru çözümü | 39 GÜNDE AYT COĞRAFYA KAMPI 2026 | 11.sınıf coğrafya</t>
  </si>
  <si>
    <t>Çevre ve Toplum konu anlatımı | 39 GÜNDE AYT COĞRAFYA KAMPI 2026 | 11.sınıf coğrafya</t>
  </si>
  <si>
    <t>127) Kurtuluş Savaşı | ÖSYM Analizi | YKS-Tarih | Mehmet Celal ÖZYILDIZ - 2026</t>
  </si>
  <si>
    <t>128) Kurtuluş Savaşı | Soru Çözümü | YKS-Tarih | Mehmet Celal ÖZYILDIZ - 2026</t>
  </si>
  <si>
    <t>📅 33. HAFTA PROGRAMI</t>
  </si>
  <si>
    <t>64) Paragrafta Anlam | Anlatılmak İstenen ve Asıl Anlatılmak İstenen | Aker KARTAL - 2027</t>
  </si>
  <si>
    <t>65) Paragrafta Anlam | Anlatım oluşturma | Aker KARTAL - 2027</t>
  </si>
  <si>
    <t>129) Cumhuriyetin İlanı | YKS-Tarih | Mehmet Celal ÖZYILDIZ - 2026</t>
  </si>
  <si>
    <t>130) Cumhurbaşkanlarımız Ve Başbakanlarımız | YKS-Tarih | Mehmet Celal ÖZYILDIZ - 2026</t>
  </si>
  <si>
    <t>Karışımlar-5 Soru Çözümü | 39 GÜNDE AYRINTILI KİMYA KAMPI 2026 | 32</t>
  </si>
  <si>
    <t>Asitler-Bazlar-Tuzlar-1 Konu Anlatımı | 39 GÜNDE AYRINTILI KİMYA KAMPI 2026 | 33</t>
  </si>
  <si>
    <t>Aydınlanma-Gölge Soru Çözümü 39 GÜNDE TYT FİZİK KAMPI 2026 I 34. Gün</t>
  </si>
  <si>
    <t>Işığın Yansıması ve Düzlem Aynalar I 39 GÜNDE TYT FİZİK KAMPI 2026 I 35. Gün</t>
  </si>
  <si>
    <t>Çevre ve Toplum soru çözümü | 39 GÜNDE AYT COĞRAFYA KAMPI 2026 | 11.sınıf coğrafya</t>
  </si>
  <si>
    <t>Ekstrem Doğa Olayları Konu anlatım - soru çözüm | 39 GÜNDE AYT COĞRAFYA KAMPI 2026 | 12.sınıf</t>
  </si>
  <si>
    <t>131) Halifeliğin Kaldırılması | YKS-Tarih | Mehmet Celal ÖZYILDIZ - 2026</t>
  </si>
  <si>
    <t>132) Çok Partili Hayata Geçiş Denemeleri | YKS-Tarih | Mehmet Celal ÖZYILDIZ - 2026</t>
  </si>
  <si>
    <t>📅 34. HAFTA PROGRAMI</t>
  </si>
  <si>
    <t>66) Paragrafta Anlam | Yardımcı Düşünce | Aker KARTAL - 2027</t>
  </si>
  <si>
    <t>67) Paragrafta Anlam | Paragraf Oluşturma | Aker KARTAL - 2027</t>
  </si>
  <si>
    <t>133) Çok Partili Hayata Geçiş Denemeleri - 2 | YKS-Tarih | Mehmet Celal ÖZYILDIZ - 2026</t>
  </si>
  <si>
    <t>134) Atatürk Dönemi Diğer Olaylar | YKS-Tarih | Mehmet Celal ÖZYILDIZ - 2026</t>
  </si>
  <si>
    <t>Asitler-Bazlar-Tuzlar-1 Soru Çözümü | 39 GÜNDE AYRINTILI KİMYA KAMPI 2026 | 33</t>
  </si>
  <si>
    <t>Asitler-Bazlar-Tuzlar-2 Konu Anlatımı | 39 GÜNDE AYRINTILI KİMYA KAMPI 2026 | 34</t>
  </si>
  <si>
    <t>Küresel Aynalar I 39 GÜNDE TYT FİZİK KAMPI 2026 I 36. Gün</t>
  </si>
  <si>
    <t>Aynalar Soru Çözümü I 39 GÜNDE TYT FİZİK KAMPI 2026 I 36. Gün</t>
  </si>
  <si>
    <t>Küresel İklim Değişimi Konu anlatım - soru çözüm | 39 GÜNDE AYT COĞRAFYA KAMPI 2026 | 12.sınıf</t>
  </si>
  <si>
    <t>Şehirleşme ve Geleceğin Dünyası konu anlatımı | 39 GÜNDE AYT COĞRAFYA KAMPI | 12.sınıf</t>
  </si>
  <si>
    <t>135) Çok Partili Hayata Geçiş | YKS-Tarih | Mehmet Celal ÖZYILDIZ - 2026</t>
  </si>
  <si>
    <t>136) Atatürk İlkeleri - 1 | YKS-Tarih | Mehmet Celal ÖZYILDIZ - 2026</t>
  </si>
  <si>
    <t>📅 35. HAFTA PROGRAMI</t>
  </si>
  <si>
    <t>68) Anlam Bilgisi | Karma Test - 1 | Aker KARTAL - 2027</t>
  </si>
  <si>
    <t>69) Anlam Bilgisi | Karma Test - 2 | Aker KARTAL - 2027</t>
  </si>
  <si>
    <t>137) Atatürk İlkeleri - 2 | YKS-Tarih | Mehmet Celal ÖZYILDIZ - 2026</t>
  </si>
  <si>
    <t>138) Atatürk Özel | YKS-Tarih | Mehmet Celal ÖZYILDIZ - 2026</t>
  </si>
  <si>
    <t>Asitler-Bazlar-Tuzlar-2 Soru Çözümü | 39 GÜNDE AYRINTILI KİMYA KAMPI 2026 | 34</t>
  </si>
  <si>
    <t>Asitler-Bazlar-Tuzlar-3 Konu Anlatımı | 39 GÜNDE AYRINTILI KİMYA KAMPI 2026 | 35</t>
  </si>
  <si>
    <t>Işığın Kırılması I 39 GÜNDE TYT FİZİK KAMPI 2026 I 37. Gün</t>
  </si>
  <si>
    <t>Prizma Renk I 39 GÜNDE TYT FİZİK KAMPI 2026 I 38. Gün</t>
  </si>
  <si>
    <t>Şehirleşme ve geleceğin dünyası soru çözümü | 39 GÜNDE AYT COĞRAFYA KAMPI | 12.sınıf</t>
  </si>
  <si>
    <t>Türkiye'nin İşlevsel Bölgeleri konu anlatımı | 39 GÜNDE AYT COĞRAFYA KAMPI | 12.sınıf</t>
  </si>
  <si>
    <t>139) İnkılaplar - 1 Siyasi Hukuk | YKS-Tarih | Mehmet Celal ÖZYILDIZ - 2026</t>
  </si>
  <si>
    <t>140) İnkılaplar - 2  | Eğitim ve Kültür - 1 | YKS-Tarih | Mehmet Celal ÖZYILDIZ - 2026</t>
  </si>
  <si>
    <t>📅 36. HAFTA PROGRAMI</t>
  </si>
  <si>
    <t>70) Anlam Bilgisi | Sözün Özü | Aker KARTAL - 2027</t>
  </si>
  <si>
    <t>141) İnkılaplar - 3 | Eğitim ve Kültür - 2 | YKS-Tarih | Mehmet Celal ÖZYILDIZ - 2026</t>
  </si>
  <si>
    <t>142) İnkılaplar - 4 | Toplumsal Alan | YKS-Tarih | Mehmet Celal ÖZYILDIZ - 2026</t>
  </si>
  <si>
    <t>Asitler-Bazlar-Tuzlar-3 Soru Çözümü | 39 GÜNDE AYRINTILI KİMYA KAMPI 2026 | 35</t>
  </si>
  <si>
    <t>Asitler-Bazlar-Tuzlar-4 Konu Anlatımı | 39 GÜNDE AYRINTILI KİMYA KAMPI 2026 | 36</t>
  </si>
  <si>
    <t>Mercekler I 39 GÜNDE TYT FİZİK KAMPI 2026 I 39. Gün</t>
  </si>
  <si>
    <t>Kırılma Mercek Renk Soru çözümü I 39 GÜNDE TYT FİZİK KAMPI 2026 I 39. Gün</t>
  </si>
  <si>
    <t>Türkiye'nin İşlevsel Bölgeleri soru çözümü | 39 GÜNDE AYT COĞRAFYA KAMPI | 12.sınıf</t>
  </si>
  <si>
    <t>Türkiye'de Ulaşım konu anlatımı | 39 GÜNDE AYT COĞRAFYA KAMPI | 12.sınıf</t>
  </si>
  <si>
    <t>143) İnkılaplar - 5 Ekonomik Ve Ticari Alanda | YKS-Tarih | Mehmet Celal ÖZYILDIZ - 2026</t>
  </si>
  <si>
    <t>144) İnkılaplar - 6 Bayındırlık Ve Ulaştırma - Sağlık - Tarım Alanında |YKS-Tarih| M. Celal ÖZYILDIZ</t>
  </si>
  <si>
    <t>📅 37. HAFTA PROGRAMI</t>
  </si>
  <si>
    <t>145) Atatürk Dönemi Türk Dış Politikası - 1 | YKS-Tarih | Mehmet Celal ÖZYILDIZ - 2026</t>
  </si>
  <si>
    <t>146) Atatürk Dönemi Türk Dış Politikası - 2 | YKS-Tarih | Mehmet Celal ÖZYILDIZ - 2026</t>
  </si>
  <si>
    <t>Asitler-Bazlar-Tuzlar-4 Soru Çözümü | 39 GÜNDE AYRINTILI KİMYA KAMPI 2026 | 36</t>
  </si>
  <si>
    <t>Kimya Her Yerde-1 Konu Anlatımı | 39 GÜNDE AYRINTILI KİMYA KAMPI 2026 | 37</t>
  </si>
  <si>
    <t>Optik I  39 GÜNDE TYT FİZİK KAMPI 2026 I Ünite Tekrar Testi</t>
  </si>
  <si>
    <t>TYT FİZİK NASIL ÇALIŞILIR ? FİZİK ÇALIŞMA PROGRAMI Sayısal | Dil | Mezun | Sözel | Eşit Ağırlık</t>
  </si>
  <si>
    <t>Türkiye'de Ulaşım soru çözümü | 39 GÜNDE AYT COĞRAFYA KAMPI | 12.sınıf</t>
  </si>
  <si>
    <t>Dünya ve Türkiye'de Ticaret konu anlatımı  | 39 GÜNDE AYT COĞRAFYA KAMPI 2026 | 12.sınıf</t>
  </si>
  <si>
    <t>147) Atatürk İlke Ve İnkılapları | ÖSYM Analizi | YKS-Tarih | Mehmet Celal ÖZYILDIZ - 2026</t>
  </si>
  <si>
    <t>148) Atatürk İlke Ve İnkılapları | Soru Çözümü | YKS-Tarih | Mehmet Celal ÖZYILDIZ - 2026</t>
  </si>
  <si>
    <t>📅 38. HAFTA PROGRAMI</t>
  </si>
  <si>
    <t>149) İki Küresel Savaş Arası Dünya -1 | YKS-Tarih | Mehmet Celal ÖZYILDIZ - 2026</t>
  </si>
  <si>
    <t>150) İki Küresel Savaş Arası Dünya -2 | YKS-Tarih | Mehmet Celal ÖZYILDIZ - 2026</t>
  </si>
  <si>
    <t>Kimya Her Yerde-1 Soru Çözümü | 39 GÜNDE AYRINTILI KİMYA KAMPI 2026 | 37</t>
  </si>
  <si>
    <t>Kimya Her Yerde-2 Konu Anlatımı | 39 GÜNDE AYRINTILI KİMYA KAMPI 2026 | 38</t>
  </si>
  <si>
    <t>MSÜ - TYT Fizik Ocak Genel Tekrar Kampı - 1 Kitap 3 Kamp - Zeduva</t>
  </si>
  <si>
    <t>TYT Fizik Çalışma Programı - Zeduva</t>
  </si>
  <si>
    <t>Dünya ve Türkiye'de Ticaret soru çözümü | 39 GÜNDE AYT COĞRAFYA KAMPI 2026 | 12.sınıf</t>
  </si>
  <si>
    <t>Türkiye'de Turizm konu anlatımı ve soru çözüm | 39 GÜNDE AYT COĞRAFYA KAMPI 2026 | 12.sınıf</t>
  </si>
  <si>
    <t>151) İki Küresel Savaş Arası Dünya - 3 | YKS-Tarih | Mehmet Celal ÖZYILDIZ - 2026</t>
  </si>
  <si>
    <t>152) İkinci Dünya Savaşısı | YKS-Tarih | Mehmet Celal ÖZYILDIZ - 2026</t>
  </si>
  <si>
    <t>📅 39. HAFTA PROGRAMI</t>
  </si>
  <si>
    <t>153) İkinci Dünya Savaşısı - 2 | YKS-Tarih | Mehmet Celal ÖZYILDIZ - 2026</t>
  </si>
  <si>
    <t>154) İkinci Dünya Savaşısı - 3 | YKS-Tarih | Mehmet Celal ÖZYILDIZ - 2026</t>
  </si>
  <si>
    <t>Kimya Her Yerde-2 Soru Çözümü | 39 GÜNDE AYRINTILI KİMYA KAMPI 2026 | 38</t>
  </si>
  <si>
    <t>Kimya Her Yerde-3 Konu Anlatımı | 39 GÜNDE AYRINTILI KİMYA KAMPI 2026 | 39</t>
  </si>
  <si>
    <t>Ülkelerin konumu ve etkileri konu anlatımı ve soru çözüm | 39 GÜNDE AYT COĞRAFYA KAMPI 2026</t>
  </si>
  <si>
    <t>Türkiye'nin Jeopolitik Konumu konu anlatımı ve soru çözüm | 39 GÜNDE AYT COĞRAFYA KAMPI 2026</t>
  </si>
  <si>
    <t>155) Soğuk Savaşısı - 1 | YKS-Tarih | Mehmet Celal ÖZYILDIZ - 2026</t>
  </si>
  <si>
    <t>156) Soğuk Savaşısı - 2 | YKS-Tarih | Mehmet Celal ÖZYILDIZ - 2026</t>
  </si>
  <si>
    <t>📅 40. HAFTA PROGRAMI</t>
  </si>
  <si>
    <t>157) Soğuk Savaşısı - 3 | YKS-Tarih | Mehmet Celal ÖZYILDIZ - 2026</t>
  </si>
  <si>
    <t>158) Soğuk Savaşısı - 4 | YKS-Tarih | Mehmet Celal ÖZYILDIZ - 2026</t>
  </si>
  <si>
    <t>Kimya Her Yerde-3 Soru Çözümü | 39 GÜNDE AYRINTILI KİMYA KAMPI 2026 | 39</t>
  </si>
  <si>
    <t>Ülkelerin gelişmişlik seviyeleri konu anlatımı ve soru çözüm | 39 GÜNDE AYT COĞRAFYA KAMPI 2026</t>
  </si>
  <si>
    <t>Çatışma bölgeleri ve Enerji güzergahları | 39 GÜNDE AYT COĞRAFYA KAMPI</t>
  </si>
  <si>
    <t>159) Yumuşama Dönemi - 1 | YKS-Tarih | Mehmet Celal ÖZYILDIZ - 2026</t>
  </si>
  <si>
    <t>160) Yumuşama Dönemi - 2 | YKS-Tarih | Mehmet Celal ÖZYILDIZ - 2026</t>
  </si>
  <si>
    <t>📅 41. HAFTA PROGRAMI</t>
  </si>
  <si>
    <t>161) Yumuşama Dönemi - 3 | YKS-Tarih | Mehmet Celal ÖZYILDIZ - 2026</t>
  </si>
  <si>
    <t>162) Yumuşama Dönemi - 4 | YKS-Tarih | Mehmet Celal ÖZYILDIZ - 2026</t>
  </si>
  <si>
    <t>Çevre ve Toplum konu anlatımı | 39 GÜNDE AYT COĞRAFYA KAMPI</t>
  </si>
  <si>
    <t>Çevre ve Toplum soru çözüm | 39 GÜNDE AYT COĞRAFYA KAMPI</t>
  </si>
  <si>
    <t>163) Küreselleşen Dünya - 1 | YKS-Tarih | Mehmet Celal ÖZYILDIZ - 2026</t>
  </si>
  <si>
    <t>164) Küreselleşen Dünya - 2 | YKS-Tarih | Mehmet Celal ÖZYILDIZ - 2026</t>
  </si>
  <si>
    <t>📅 42. HAFTA PROGRAMI</t>
  </si>
  <si>
    <t>165) Çağdaş Türk Ve Dünya Tarihi | ÖSYM Analizi | YKS-Tarih | Mehmet Celal ÖZYILDIZ - 2026</t>
  </si>
  <si>
    <t>166) Çağdaş Türk Ve Dünya Tarihi | Soru Çözümü | YKS-Tarih | Mehmet Celal ÖZYILDIZ - 2026</t>
  </si>
  <si>
    <t>49 SORUDA AYT GENEL TEKRAR</t>
  </si>
  <si>
    <t>AYT COĞRAFYA SON TEKRAR | 49 SORUDA GENEL TEKRAR</t>
  </si>
  <si>
    <t>🎯 DİNAMİK HAFTALIK ÇALIŞMA PLANLAYICI (ÖZELLEŞTİRİLEBİLİR)</t>
  </si>
  <si>
    <t>💡 Kullanım: Ders seçin -&gt; Video konusunu seçin -&gt; Süre ve YouTube linki otomatik gelir. Günde 4 blok ve 20 dk mola esastır.</t>
  </si>
  <si>
    <t>Gün / Blok</t>
  </si>
  <si>
    <t>Ders Seçimi</t>
  </si>
  <si>
    <t>Video / Konu Adı</t>
  </si>
  <si>
    <t>Mola (Dk)</t>
  </si>
  <si>
    <t>📌 PAZARTESI (4 Blok + 3 Mola)</t>
  </si>
  <si>
    <t>☕ Mola</t>
  </si>
  <si>
    <t>20 Dakika Zihinsel Dinlenme</t>
  </si>
  <si>
    <t>Toplam Çalışma &amp; Mola</t>
  </si>
  <si>
    <t>📌 SALI (4 Blok + 3 Mola)</t>
  </si>
  <si>
    <t>📌 ÇARŞAMBA (4 Blok + 3 Mola)</t>
  </si>
  <si>
    <t>📌 PERŞEMBE (4 Blok + 3 Mola)</t>
  </si>
  <si>
    <t>📌 CUMA (4 Blok + 3 Mola)</t>
  </si>
  <si>
    <t>📌 CUMARTESI (4 Blok + 3 Mola)</t>
  </si>
  <si>
    <t>📈 Haftalık Genel Toplam</t>
  </si>
  <si>
    <t>24 Blok + 18 Mola</t>
  </si>
  <si>
    <t>Haftalık Toplam Süre</t>
  </si>
  <si>
    <t>Sıra No</t>
  </si>
  <si>
    <t>Video Başlığı</t>
  </si>
  <si>
    <t>Süre (Saniye)</t>
  </si>
  <si>
    <t>YouTube URL</t>
  </si>
  <si>
    <t>Ders Listesi</t>
  </si>
  <si>
    <t>Aker Kartal (Retro Yayıncılık)</t>
  </si>
  <si>
    <t>https://www.youtube.com/watch?v=JiIDhhHGRJo</t>
  </si>
  <si>
    <t>https://www.youtube.com/watch?v=juJFHVk7ieE</t>
  </si>
  <si>
    <t>https://www.youtube.com/watch?v=_jpMxZQ3PF0</t>
  </si>
  <si>
    <t>https://www.youtube.com/watch?v=L0LrvZN0iqY</t>
  </si>
  <si>
    <t>https://www.youtube.com/watch?v=Ym4ZBYlY6Q8</t>
  </si>
  <si>
    <t>https://www.youtube.com/watch?v=pDJsRjdzzlc</t>
  </si>
  <si>
    <t>https://www.youtube.com/watch?v=HNLnHGWoa5U</t>
  </si>
  <si>
    <t>https://www.youtube.com/watch?v=1EHh06Rm6j0</t>
  </si>
  <si>
    <t>https://www.youtube.com/watch?v=X--d21iqVcc</t>
  </si>
  <si>
    <t>https://www.youtube.com/watch?v=SrjCETJKxPc</t>
  </si>
  <si>
    <t>https://www.youtube.com/watch?v=U3rtA9J_9Po</t>
  </si>
  <si>
    <t>https://www.youtube.com/watch?v=vXa24tRYd54</t>
  </si>
  <si>
    <t>https://www.youtube.com/watch?v=VG7kNIjOym0</t>
  </si>
  <si>
    <t>https://www.youtube.com/watch?v=yrDGepjFQjs</t>
  </si>
  <si>
    <t>https://www.youtube.com/watch?v=A4TnHAFVMwg</t>
  </si>
  <si>
    <t>https://www.youtube.com/watch?v=_yoaoMfjrX8</t>
  </si>
  <si>
    <t>https://www.youtube.com/watch?v=CpCxBmpQdjM</t>
  </si>
  <si>
    <t>https://www.youtube.com/watch?v=gZMekG0GA4g</t>
  </si>
  <si>
    <t>https://www.youtube.com/watch?v=W7T6nsbB9cQ</t>
  </si>
  <si>
    <t>https://www.youtube.com/watch?v=gBHRbffGkas</t>
  </si>
  <si>
    <t>https://www.youtube.com/watch?v=brj0TtkJ75E</t>
  </si>
  <si>
    <t>https://www.youtube.com/watch?v=zOAdYNi9caY</t>
  </si>
  <si>
    <t>https://www.youtube.com/watch?v=63k9-DXYJCI</t>
  </si>
  <si>
    <t>https://www.youtube.com/watch?v=_muFkFxXZv0</t>
  </si>
  <si>
    <t>https://www.youtube.com/watch?v=oC5dD_ash-0</t>
  </si>
  <si>
    <t>https://www.youtube.com/watch?v=FpDl_wCVnBQ</t>
  </si>
  <si>
    <t>https://www.youtube.com/watch?v=QM6m4bDJqY8</t>
  </si>
  <si>
    <t>https://www.youtube.com/watch?v=NrZD5abwCNc</t>
  </si>
  <si>
    <t>https://www.youtube.com/watch?v=sDav4TFPOYY</t>
  </si>
  <si>
    <t>https://www.youtube.com/watch?v=qm9KYL6vM1I</t>
  </si>
  <si>
    <t>https://www.youtube.com/watch?v=YMogz5QSaBg</t>
  </si>
  <si>
    <t>https://www.youtube.com/watch?v=kvhJLr4hyaE</t>
  </si>
  <si>
    <t>https://www.youtube.com/watch?v=kiQ29RXG6Vo</t>
  </si>
  <si>
    <t>https://www.youtube.com/watch?v=cwPVMIgVvwQ</t>
  </si>
  <si>
    <t>https://www.youtube.com/watch?v=q9pDvdrbqhk</t>
  </si>
  <si>
    <t>https://www.youtube.com/watch?v=EXiiTMOGmE4</t>
  </si>
  <si>
    <t>https://www.youtube.com/watch?v=fGd-GwbDnMs</t>
  </si>
  <si>
    <t>https://www.youtube.com/watch?v=su0P69I2T-o</t>
  </si>
  <si>
    <t>https://www.youtube.com/watch?v=zCtX9b7WcSM</t>
  </si>
  <si>
    <t>https://www.youtube.com/watch?v=l4uxhDOHn_g</t>
  </si>
  <si>
    <t>https://www.youtube.com/watch?v=kc0_tXr25Nw</t>
  </si>
  <si>
    <t>https://www.youtube.com/watch?v=XD12rHxxbXk</t>
  </si>
  <si>
    <t>https://www.youtube.com/watch?v=rsoA3ggjhkU</t>
  </si>
  <si>
    <t>https://www.youtube.com/watch?v=nHs5720AusQ</t>
  </si>
  <si>
    <t>https://www.youtube.com/watch?v=Ye3w_BfwFMA</t>
  </si>
  <si>
    <t>https://www.youtube.com/watch?v=tHMTj3vbRuA</t>
  </si>
  <si>
    <t>https://www.youtube.com/watch?v=rt9596ZV-Sc</t>
  </si>
  <si>
    <t>https://www.youtube.com/watch?v=lpoaJ8wcLr8</t>
  </si>
  <si>
    <t>https://www.youtube.com/watch?v=XBpjVOMMFj8</t>
  </si>
  <si>
    <t>https://www.youtube.com/watch?v=Qd6m6FJS-wA</t>
  </si>
  <si>
    <t>https://www.youtube.com/watch?v=iegGBThYzMI</t>
  </si>
  <si>
    <t>https://www.youtube.com/watch?v=jpfvOAVpyGw</t>
  </si>
  <si>
    <t>https://www.youtube.com/watch?v=Lxa2hIvGYCI</t>
  </si>
  <si>
    <t>https://www.youtube.com/watch?v=dJ6trEYtQdI</t>
  </si>
  <si>
    <t>https://www.youtube.com/watch?v=-y5OVO4u9rk</t>
  </si>
  <si>
    <t>https://www.youtube.com/watch?v=imCBdKXdftw</t>
  </si>
  <si>
    <t>https://www.youtube.com/watch?v=HFV6v9r_pkg</t>
  </si>
  <si>
    <t>https://www.youtube.com/watch?v=5FNTWh8F0uk</t>
  </si>
  <si>
    <t>https://www.youtube.com/watch?v=LSmrTEXJkEE</t>
  </si>
  <si>
    <t>https://www.youtube.com/watch?v=6OQ_hF5LXFA</t>
  </si>
  <si>
    <t>https://www.youtube.com/watch?v=M2GaVZVhn_4</t>
  </si>
  <si>
    <t>https://www.youtube.com/watch?v=oxRFRWENjrg</t>
  </si>
  <si>
    <t>https://www.youtube.com/watch?v=mWdqXtixn9w</t>
  </si>
  <si>
    <t>https://www.youtube.com/watch?v=AJlah914Ybg</t>
  </si>
  <si>
    <t>https://www.youtube.com/watch?v=n0MTZsM_fSg</t>
  </si>
  <si>
    <t>https://www.youtube.com/watch?v=fxlEeNpy5ww</t>
  </si>
  <si>
    <t>https://www.youtube.com/watch?v=yG38y_18gGQ</t>
  </si>
  <si>
    <t>https://www.youtube.com/watch?v=uLJQwncQhMo</t>
  </si>
  <si>
    <t>https://www.youtube.com/watch?v=-Wjs5YgIH4Q</t>
  </si>
  <si>
    <t>https://www.youtube.com/watch?v=EjBPGdO3wXs</t>
  </si>
  <si>
    <t>https://www.youtube.com/watch?v=dpzPrRuR7M0</t>
  </si>
  <si>
    <t>Mehmet Celal Özyıldız (Retro Yayıncılık)</t>
  </si>
  <si>
    <t>https://www.youtube.com/watch?v=5QxOpTALmEE</t>
  </si>
  <si>
    <t>https://www.youtube.com/watch?v=lqEZ19uwyas</t>
  </si>
  <si>
    <t>https://www.youtube.com/watch?v=v8WWf5qwFwg</t>
  </si>
  <si>
    <t>https://www.youtube.com/watch?v=GmBrSdlmuqE</t>
  </si>
  <si>
    <t>https://www.youtube.com/watch?v=ptTEW1Ys6Ok</t>
  </si>
  <si>
    <t>https://www.youtube.com/watch?v=s0HxKUMdT98</t>
  </si>
  <si>
    <t>https://www.youtube.com/watch?v=umZ1I3gYXMk</t>
  </si>
  <si>
    <t>https://www.youtube.com/watch?v=XJASq7FFjOA</t>
  </si>
  <si>
    <t>https://www.youtube.com/watch?v=HnfJxjk5nrY</t>
  </si>
  <si>
    <t>https://www.youtube.com/watch?v=Vci8OnLpN3Y</t>
  </si>
  <si>
    <t>https://www.youtube.com/watch?v=HLbzOMaSQSg</t>
  </si>
  <si>
    <t>https://www.youtube.com/watch?v=7mvoe1vHDqo</t>
  </si>
  <si>
    <t>https://www.youtube.com/watch?v=pWgglk6RM8M</t>
  </si>
  <si>
    <t>https://www.youtube.com/watch?v=3-4mLn14W88</t>
  </si>
  <si>
    <t>https://www.youtube.com/watch?v=IPcGWAnQJxw</t>
  </si>
  <si>
    <t>https://www.youtube.com/watch?v=VIkg2vLtVaU</t>
  </si>
  <si>
    <t>https://www.youtube.com/watch?v=oKfQVbYtQUw</t>
  </si>
  <si>
    <t>https://www.youtube.com/watch?v=KjUx4Q8p2HA</t>
  </si>
  <si>
    <t>https://www.youtube.com/watch?v=_04X9pCuLGo</t>
  </si>
  <si>
    <t>https://www.youtube.com/watch?v=ZNhHcjv4zAI</t>
  </si>
  <si>
    <t>https://www.youtube.com/watch?v=84wwgsbdOis</t>
  </si>
  <si>
    <t>https://www.youtube.com/watch?v=sCoSy04WJis</t>
  </si>
  <si>
    <t>https://www.youtube.com/watch?v=JROYrH1b2qw</t>
  </si>
  <si>
    <t>https://www.youtube.com/watch?v=i70Te_i0Hf4</t>
  </si>
  <si>
    <t>https://www.youtube.com/watch?v=ouej4wcDS3c</t>
  </si>
  <si>
    <t>https://www.youtube.com/watch?v=EBsoh09a4k4</t>
  </si>
  <si>
    <t>https://www.youtube.com/watch?v=2Es00BMNF8A</t>
  </si>
  <si>
    <t>https://www.youtube.com/watch?v=6GZhpCim9C8</t>
  </si>
  <si>
    <t>https://www.youtube.com/watch?v=OR6O3CnR03Y</t>
  </si>
  <si>
    <t>https://www.youtube.com/watch?v=PpwQCEi2j9w</t>
  </si>
  <si>
    <t>https://www.youtube.com/watch?v=qv-kruU-2uo</t>
  </si>
  <si>
    <t>https://www.youtube.com/watch?v=5MaEfZbA8I0</t>
  </si>
  <si>
    <t>https://www.youtube.com/watch?v=hvTuN-UmN_I</t>
  </si>
  <si>
    <t>https://www.youtube.com/watch?v=PdndBpMUs0M</t>
  </si>
  <si>
    <t>https://www.youtube.com/watch?v=fmH4GemeaH8</t>
  </si>
  <si>
    <t>https://www.youtube.com/watch?v=JxjsBIddB9w</t>
  </si>
  <si>
    <t>https://www.youtube.com/watch?v=ji26JaUEOsE</t>
  </si>
  <si>
    <t>https://www.youtube.com/watch?v=zDmaCuTWPG8</t>
  </si>
  <si>
    <t>https://www.youtube.com/watch?v=MOarvXu3-Ck</t>
  </si>
  <si>
    <t>https://www.youtube.com/watch?v=ZwInE9oNjps</t>
  </si>
  <si>
    <t>https://www.youtube.com/watch?v=Xxwm_76RAKg</t>
  </si>
  <si>
    <t>https://www.youtube.com/watch?v=Bf4xQ-nAOe4</t>
  </si>
  <si>
    <t>https://www.youtube.com/watch?v=bU6O5QAj9aQ</t>
  </si>
  <si>
    <t>https://www.youtube.com/watch?v=JTVlc6ZHERk</t>
  </si>
  <si>
    <t>https://www.youtube.com/watch?v=FVEyUkkKGEk</t>
  </si>
  <si>
    <t>https://www.youtube.com/watch?v=YYaEcmp-BcM</t>
  </si>
  <si>
    <t>https://www.youtube.com/watch?v=OJGEI-OgdBo</t>
  </si>
  <si>
    <t>https://www.youtube.com/watch?v=3DofK-q37x4</t>
  </si>
  <si>
    <t>https://www.youtube.com/watch?v=VwoB3WGlJC0</t>
  </si>
  <si>
    <t>https://www.youtube.com/watch?v=Dt35TPrOrb0</t>
  </si>
  <si>
    <t>https://www.youtube.com/watch?v=KSBVVHUo6dE</t>
  </si>
  <si>
    <t>https://www.youtube.com/watch?v=D1P-mhsdOAU</t>
  </si>
  <si>
    <t>https://www.youtube.com/watch?v=vnqbqFUV7Dw</t>
  </si>
  <si>
    <t>https://www.youtube.com/watch?v=lZX5cyyHmOM</t>
  </si>
  <si>
    <t>https://www.youtube.com/watch?v=-xVe7tIJvc8</t>
  </si>
  <si>
    <t>https://www.youtube.com/watch?v=8phB0_sW0QU</t>
  </si>
  <si>
    <t>https://www.youtube.com/watch?v=CcuR1ylQ3Lo</t>
  </si>
  <si>
    <t>https://www.youtube.com/watch?v=8PqiQ9nNq78</t>
  </si>
  <si>
    <t>https://www.youtube.com/watch?v=3Nnuqq8lVDA</t>
  </si>
  <si>
    <t>https://www.youtube.com/watch?v=lBT63ztt6a8</t>
  </si>
  <si>
    <t>https://www.youtube.com/watch?v=yGbquRpQ200</t>
  </si>
  <si>
    <t>https://www.youtube.com/watch?v=Su3l0OMA4JE</t>
  </si>
  <si>
    <t>https://www.youtube.com/watch?v=UuBLPc9ZIdo</t>
  </si>
  <si>
    <t>https://www.youtube.com/watch?v=s86STKTEZ3s</t>
  </si>
  <si>
    <t>https://www.youtube.com/watch?v=bEdCLkEf6ug</t>
  </si>
  <si>
    <t>https://www.youtube.com/watch?v=f-JpMM5ZGy4</t>
  </si>
  <si>
    <t>https://www.youtube.com/watch?v=EvksPDS8MJs</t>
  </si>
  <si>
    <t>https://www.youtube.com/watch?v=VLYLbv0KgbQ</t>
  </si>
  <si>
    <t>https://www.youtube.com/watch?v=l7oYN_Uw9oQ</t>
  </si>
  <si>
    <t>https://www.youtube.com/watch?v=JNnW0pyy7V0</t>
  </si>
  <si>
    <t>https://www.youtube.com/watch?v=UjRL7gevUCk</t>
  </si>
  <si>
    <t>https://www.youtube.com/watch?v=mphgMDksP10</t>
  </si>
  <si>
    <t>https://www.youtube.com/watch?v=PtaUae_l7b0</t>
  </si>
  <si>
    <t>https://www.youtube.com/watch?v=xYnmi3G46do</t>
  </si>
  <si>
    <t>https://www.youtube.com/watch?v=GmV4sdkGqVY</t>
  </si>
  <si>
    <t>https://www.youtube.com/watch?v=HZtINsc3ne0</t>
  </si>
  <si>
    <t>https://www.youtube.com/watch?v=K1BmJCwb3QQ</t>
  </si>
  <si>
    <t>https://www.youtube.com/watch?v=OzMjWPFtDN4</t>
  </si>
  <si>
    <t>https://www.youtube.com/watch?v=u4OsO6KqzEg</t>
  </si>
  <si>
    <t>https://www.youtube.com/watch?v=2sfyBBzO5t8</t>
  </si>
  <si>
    <t>https://www.youtube.com/watch?v=WbmQpd1l3T0</t>
  </si>
  <si>
    <t>https://www.youtube.com/watch?v=nK_DePZYZAc</t>
  </si>
  <si>
    <t>https://www.youtube.com/watch?v=9sGZH6ekSYs</t>
  </si>
  <si>
    <t>https://www.youtube.com/watch?v=-7MDIqJT8Qw</t>
  </si>
  <si>
    <t>https://www.youtube.com/watch?v=znacfhmFkmM</t>
  </si>
  <si>
    <t>https://www.youtube.com/watch?v=lG4-b4vcC2Q</t>
  </si>
  <si>
    <t>https://www.youtube.com/watch?v=yso528orVVk</t>
  </si>
  <si>
    <t>https://www.youtube.com/watch?v=T03WUj9MFxA</t>
  </si>
  <si>
    <t>https://www.youtube.com/watch?v=X7T0Ibz22nY</t>
  </si>
  <si>
    <t>https://www.youtube.com/watch?v=fp0YNhU12GQ</t>
  </si>
  <si>
    <t>https://www.youtube.com/watch?v=Qj_XApgtbmE</t>
  </si>
  <si>
    <t>https://www.youtube.com/watch?v=PNZw2HD1E6A</t>
  </si>
  <si>
    <t>https://www.youtube.com/watch?v=iyHxOSfgGZs</t>
  </si>
  <si>
    <t>https://www.youtube.com/watch?v=Q46HZoqUfBE</t>
  </si>
  <si>
    <t>https://www.youtube.com/watch?v=0FbmI4OLbCk</t>
  </si>
  <si>
    <t>https://www.youtube.com/watch?v=GWwq_sHZBYM</t>
  </si>
  <si>
    <t>https://www.youtube.com/watch?v=9q73l24SVl8</t>
  </si>
  <si>
    <t>https://www.youtube.com/watch?v=ZtwFpYOpL0c</t>
  </si>
  <si>
    <t>https://www.youtube.com/watch?v=W0xcc7Xlenw</t>
  </si>
  <si>
    <t>https://www.youtube.com/watch?v=jzwkPKIrpeA</t>
  </si>
  <si>
    <t>https://www.youtube.com/watch?v=iVvhwvWO7dM</t>
  </si>
  <si>
    <t>https://www.youtube.com/watch?v=hN8dvvdoBso</t>
  </si>
  <si>
    <t>https://www.youtube.com/watch?v=tApF2QrNT5A</t>
  </si>
  <si>
    <t>https://www.youtube.com/watch?v=9w3dk5V1uEM</t>
  </si>
  <si>
    <t>https://www.youtube.com/watch?v=jR-mmJO5FAY</t>
  </si>
  <si>
    <t>https://www.youtube.com/watch?v=jJ4GPkv_IoI</t>
  </si>
  <si>
    <t>https://www.youtube.com/watch?v=ikObQ4ut9hc</t>
  </si>
  <si>
    <t>https://www.youtube.com/watch?v=l0x61nFiuhM</t>
  </si>
  <si>
    <t>https://www.youtube.com/watch?v=T5iz3w-3VNc</t>
  </si>
  <si>
    <t>https://www.youtube.com/watch?v=BWZKLr7XnzA</t>
  </si>
  <si>
    <t>https://www.youtube.com/watch?v=jbIPJ6-xl6w</t>
  </si>
  <si>
    <t>https://www.youtube.com/watch?v=VJwga-Iq6Sc</t>
  </si>
  <si>
    <t>https://www.youtube.com/watch?v=utg0uo9rY2E</t>
  </si>
  <si>
    <t>https://www.youtube.com/watch?v=Fc9vhKyN1Yc</t>
  </si>
  <si>
    <t>https://www.youtube.com/watch?v=I92P5ur8VHM</t>
  </si>
  <si>
    <t>https://www.youtube.com/watch?v=caQ4OjtixME</t>
  </si>
  <si>
    <t>https://www.youtube.com/watch?v=G6nsrSTFsLA</t>
  </si>
  <si>
    <t>https://www.youtube.com/watch?v=CMZsERXwd2g</t>
  </si>
  <si>
    <t>https://www.youtube.com/watch?v=o2ZBC5q-X6o</t>
  </si>
  <si>
    <t>https://www.youtube.com/watch?v=XD3tz3QbCEA</t>
  </si>
  <si>
    <t>https://www.youtube.com/watch?v=KPel0vFWkzk</t>
  </si>
  <si>
    <t>https://www.youtube.com/watch?v=XnsAzueyIJ0</t>
  </si>
  <si>
    <t>https://www.youtube.com/watch?v=lBwcMXE2TkU</t>
  </si>
  <si>
    <t>https://www.youtube.com/watch?v=bzkWQ5GfNL8</t>
  </si>
  <si>
    <t>https://www.youtube.com/watch?v=YayYzZ0Bw7M</t>
  </si>
  <si>
    <t>https://www.youtube.com/watch?v=d66X7KO0tiQ</t>
  </si>
  <si>
    <t>https://www.youtube.com/watch?v=_1iZjQSDDKM</t>
  </si>
  <si>
    <t>https://www.youtube.com/watch?v=SIeykCrDm_g</t>
  </si>
  <si>
    <t>https://www.youtube.com/watch?v=kUBxrCKotys</t>
  </si>
  <si>
    <t>https://www.youtube.com/watch?v=J_mKQXCiod0</t>
  </si>
  <si>
    <t>https://www.youtube.com/watch?v=dl4ScK1iPA8</t>
  </si>
  <si>
    <t>https://www.youtube.com/watch?v=I_G-pLNLOrE</t>
  </si>
  <si>
    <t>https://www.youtube.com/watch?v=IcdAz71jmbc</t>
  </si>
  <si>
    <t>https://www.youtube.com/watch?v=t9HTIPaRsZ4</t>
  </si>
  <si>
    <t>https://www.youtube.com/watch?v=A56K8qyqicY</t>
  </si>
  <si>
    <t>https://www.youtube.com/watch?v=fD0ln5MZgDM</t>
  </si>
  <si>
    <t>https://www.youtube.com/watch?v=SOy7_VWAdvA</t>
  </si>
  <si>
    <t>https://www.youtube.com/watch?v=OKQaha0Ylv0</t>
  </si>
  <si>
    <t>https://www.youtube.com/watch?v=5cJjwivN8TE</t>
  </si>
  <si>
    <t>https://www.youtube.com/watch?v=hjMbLb11O9k</t>
  </si>
  <si>
    <t>https://www.youtube.com/watch?v=K8LBHZBBHAI</t>
  </si>
  <si>
    <t>https://www.youtube.com/watch?v=dC7UzUgvQnM</t>
  </si>
  <si>
    <t>https://www.youtube.com/watch?v=SRp238SgsSk</t>
  </si>
  <si>
    <t>https://www.youtube.com/watch?v=fbug2Gkf_24</t>
  </si>
  <si>
    <t>https://www.youtube.com/watch?v=XV4DREtqFwE</t>
  </si>
  <si>
    <t>https://www.youtube.com/watch?v=H8IBRez6w5I</t>
  </si>
  <si>
    <t>https://www.youtube.com/watch?v=Wm0TZ-ooZb4</t>
  </si>
  <si>
    <t>https://www.youtube.com/watch?v=FtzxE_jJeQY</t>
  </si>
  <si>
    <t>https://www.youtube.com/watch?v=zDySpq2iEFs</t>
  </si>
  <si>
    <t>https://www.youtube.com/watch?v=DITh4JYRh4o</t>
  </si>
  <si>
    <t>https://www.youtube.com/watch?v=t_5lXXWgvpQ</t>
  </si>
  <si>
    <t>https://www.youtube.com/watch?v=8tLn4YbWHHQ</t>
  </si>
  <si>
    <t>https://www.youtube.com/watch?v=PGrX5Xz5PIo</t>
  </si>
  <si>
    <t>https://www.youtube.com/watch?v=J96QIuhO0Jg</t>
  </si>
  <si>
    <t>https://www.youtube.com/watch?v=7_j7xsZHp9Q</t>
  </si>
  <si>
    <t>https://www.youtube.com/watch?v=1CPJ3P9tzEo</t>
  </si>
  <si>
    <t>https://www.youtube.com/watch?v=EcCxWVV9wyw</t>
  </si>
  <si>
    <t>https://www.youtube.com/watch?v=9U5ZFe8MCbA</t>
  </si>
  <si>
    <t>https://www.youtube.com/watch?v=kwFP-raYB9c</t>
  </si>
  <si>
    <t>https://www.youtube.com/watch?v=IrXRI5lB-6Q</t>
  </si>
  <si>
    <t>https://www.youtube.com/watch?v=HWK7hqMfyNc</t>
  </si>
  <si>
    <t>https://www.youtube.com/watch?v=sBEh4uMOo30</t>
  </si>
  <si>
    <t>https://www.youtube.com/watch?v=J_Qq9yKHxWw</t>
  </si>
  <si>
    <t>https://www.youtube.com/watch?v=YUTCXzsXiuk</t>
  </si>
  <si>
    <t>https://www.youtube.com/watch?v=3pX_S3Nsq4s</t>
  </si>
  <si>
    <t>https://www.youtube.com/watch?v=D41Mmtp_G5M</t>
  </si>
  <si>
    <t>Yunus Hoca (Coğrafyanın Kodları) (Coğrafyanın Kodları)</t>
  </si>
  <si>
    <t>https://www.youtube.com/watch?v=CPtQWAQjW2g</t>
  </si>
  <si>
    <t>https://www.youtube.com/watch?v=l5tQfbL89G4</t>
  </si>
  <si>
    <t>https://www.youtube.com/watch?v=TLVVxhghVd8</t>
  </si>
  <si>
    <t>https://www.youtube.com/watch?v=Zx6bArZ49Gg</t>
  </si>
  <si>
    <t>https://www.youtube.com/watch?v=k7Akbo06kIw</t>
  </si>
  <si>
    <t>https://www.youtube.com/watch?v=BDTd3m9KY4E</t>
  </si>
  <si>
    <t>https://www.youtube.com/watch?v=JrRJFujEIJw</t>
  </si>
  <si>
    <t>https://www.youtube.com/watch?v=LMWkh7rf9QY</t>
  </si>
  <si>
    <t>https://www.youtube.com/watch?v=JcKNDqwt-Vc</t>
  </si>
  <si>
    <t>https://www.youtube.com/watch?v=ckdvJ5g2nnw</t>
  </si>
  <si>
    <t>https://www.youtube.com/watch?v=pOtroRS61nU</t>
  </si>
  <si>
    <t>https://www.youtube.com/watch?v=zUu2eLxYyGk</t>
  </si>
  <si>
    <t>https://www.youtube.com/watch?v=srSMADVxKps</t>
  </si>
  <si>
    <t>https://www.youtube.com/watch?v=Y2HMa_KRQXg</t>
  </si>
  <si>
    <t>https://www.youtube.com/watch?v=IwtpdG4u96c</t>
  </si>
  <si>
    <t>https://www.youtube.com/watch?v=oIs4EubPRjs</t>
  </si>
  <si>
    <t>https://www.youtube.com/watch?v=9ra55hD5WA4</t>
  </si>
  <si>
    <t>https://www.youtube.com/watch?v=ywb5BmVQIpY</t>
  </si>
  <si>
    <t>https://www.youtube.com/watch?v=Dx5bq_L9UYQ</t>
  </si>
  <si>
    <t>https://www.youtube.com/watch?v=E7Rs_Jl5grs</t>
  </si>
  <si>
    <t>https://www.youtube.com/watch?v=b-ezTmctZak</t>
  </si>
  <si>
    <t>https://www.youtube.com/watch?v=kmgo1byysio</t>
  </si>
  <si>
    <t>https://www.youtube.com/watch?v=KnsjldoMwnU</t>
  </si>
  <si>
    <t>https://www.youtube.com/watch?v=HJFwn43dx6g</t>
  </si>
  <si>
    <t>https://www.youtube.com/watch?v=cv7V9BfOtr4</t>
  </si>
  <si>
    <t>https://www.youtube.com/watch?v=ht3Pyze8SW4</t>
  </si>
  <si>
    <t>https://www.youtube.com/watch?v=E3Oluksc-uo</t>
  </si>
  <si>
    <t>https://www.youtube.com/watch?v=CKHFCHec1Wk</t>
  </si>
  <si>
    <t>https://www.youtube.com/watch?v=VpO-OSf8hfU</t>
  </si>
  <si>
    <t>https://www.youtube.com/watch?v=wrpp0gU5o5o</t>
  </si>
  <si>
    <t>https://www.youtube.com/watch?v=4viJ7ANXylk</t>
  </si>
  <si>
    <t>https://www.youtube.com/watch?v=t0_oJ7FshqI</t>
  </si>
  <si>
    <t>https://www.youtube.com/watch?v=kkAM9bnL5gk</t>
  </si>
  <si>
    <t>https://www.youtube.com/watch?v=_oPDRQcj9TU</t>
  </si>
  <si>
    <t>https://www.youtube.com/watch?v=Um_6dyI7yaQ</t>
  </si>
  <si>
    <t>https://www.youtube.com/watch?v=bw3uotgwtM8</t>
  </si>
  <si>
    <t>https://www.youtube.com/watch?v=P93G0P0xbgg</t>
  </si>
  <si>
    <t>https://www.youtube.com/watch?v=5Ta4wvgpNE8</t>
  </si>
  <si>
    <t>https://www.youtube.com/watch?v=KVZS7h0CHBc</t>
  </si>
  <si>
    <t>https://www.youtube.com/watch?v=o0tT35Vd8Zo</t>
  </si>
  <si>
    <t>https://www.youtube.com/watch?v=ojhybvYpBhY</t>
  </si>
  <si>
    <t>https://www.youtube.com/watch?v=jf_8fVa0CRQ</t>
  </si>
  <si>
    <t>https://www.youtube.com/watch?v=JbU5gnJw5U8</t>
  </si>
  <si>
    <t>https://www.youtube.com/watch?v=U22oGb3dJL8</t>
  </si>
  <si>
    <t>https://www.youtube.com/watch?v=myXhBHoMvjw</t>
  </si>
  <si>
    <t>https://www.youtube.com/watch?v=hOm8kalqImA</t>
  </si>
  <si>
    <t>https://www.youtube.com/watch?v=BHolf82LVxc</t>
  </si>
  <si>
    <t>https://www.youtube.com/watch?v=kSMrXNjRCDg</t>
  </si>
  <si>
    <t>https://www.youtube.com/watch?v=j6CVJ7C5Ywk</t>
  </si>
  <si>
    <t>https://www.youtube.com/watch?v=4Zk6KrzT33U</t>
  </si>
  <si>
    <t>https://www.youtube.com/watch?v=ZMbmy-GekAM</t>
  </si>
  <si>
    <t>https://www.youtube.com/watch?v=yPwfZyXlOy0</t>
  </si>
  <si>
    <t>https://www.youtube.com/watch?v=UGsM0-wcvLU</t>
  </si>
  <si>
    <t>https://www.youtube.com/watch?v=bG9OPsE4nqU</t>
  </si>
  <si>
    <t>https://www.youtube.com/watch?v=Sw3mhjAh6JU</t>
  </si>
  <si>
    <t>https://www.youtube.com/watch?v=PAMkcASzhfY</t>
  </si>
  <si>
    <t>https://www.youtube.com/watch?v=zHWck6jNyuo</t>
  </si>
  <si>
    <t>https://www.youtube.com/watch?v=wpAkuhAXT-4</t>
  </si>
  <si>
    <t>https://www.youtube.com/watch?v=IChJgQdiYJ0</t>
  </si>
  <si>
    <t>https://www.youtube.com/watch?v=6LG3DYgiVJw</t>
  </si>
  <si>
    <t>https://www.youtube.com/watch?v=Hi7vOmknvC8</t>
  </si>
  <si>
    <t>https://www.youtube.com/watch?v=63f1gaqAn2k</t>
  </si>
  <si>
    <t>https://www.youtube.com/watch?v=qSUgSGkbOPc</t>
  </si>
  <si>
    <t>https://www.youtube.com/watch?v=bKI5ByFwAlM</t>
  </si>
  <si>
    <t>https://www.youtube.com/watch?v=RJouOEE_6Uc</t>
  </si>
  <si>
    <t>https://www.youtube.com/watch?v=2JrhVyC_SmI</t>
  </si>
  <si>
    <t>https://www.youtube.com/watch?v=s3GyZl9Qvn0</t>
  </si>
  <si>
    <t>https://www.youtube.com/watch?v=9mGLs25ax88</t>
  </si>
  <si>
    <t>https://www.youtube.com/watch?v=78pCsGJ4Ajw</t>
  </si>
  <si>
    <t>https://www.youtube.com/watch?v=OWRp7BotMpE</t>
  </si>
  <si>
    <t>https://www.youtube.com/watch?v=-XqYOCnkh-Q</t>
  </si>
  <si>
    <t>https://www.youtube.com/watch?v=nCczFBl3vFc</t>
  </si>
  <si>
    <t>https://www.youtube.com/watch?v=HW0CdCp7VJg</t>
  </si>
  <si>
    <t>https://www.youtube.com/watch?v=NUSAd_d8x5o</t>
  </si>
  <si>
    <t>https://www.youtube.com/watch?v=k1wHw0f5a90</t>
  </si>
  <si>
    <t>https://www.youtube.com/watch?v=bR_fAIGGqS8</t>
  </si>
  <si>
    <t>https://www.youtube.com/watch?v=s8rhALpXrto</t>
  </si>
  <si>
    <t>https://www.youtube.com/watch?v=0hdDLADxuV0</t>
  </si>
  <si>
    <t>https://www.youtube.com/watch?v=p2HgTpXDwVY</t>
  </si>
  <si>
    <t>https://www.youtube.com/watch?v=TYGOnuDxvAY</t>
  </si>
  <si>
    <t>https://www.youtube.com/watch?v=y7uYOf3ZnIE</t>
  </si>
  <si>
    <t>https://www.youtube.com/watch?v=VOvDpHbK-VI</t>
  </si>
  <si>
    <t>https://www.youtube.com/watch?v=cwCosJj2o_E</t>
  </si>
  <si>
    <t>https://www.youtube.com/watch?v=p1w8Fch2wZU</t>
  </si>
  <si>
    <t>https://www.youtube.com/watch?v=w5ih6SR1hR8</t>
  </si>
  <si>
    <t>https://www.youtube.com/watch?v=78RvipAD7U4</t>
  </si>
  <si>
    <t>https://www.youtube.com/watch?v=LRdT_wB7UyU</t>
  </si>
  <si>
    <t>https://www.youtube.com/watch?v=F2J6hBNpPUg</t>
  </si>
  <si>
    <t>https://www.youtube.com/watch?v=ARbaRW_sjlc</t>
  </si>
  <si>
    <t>https://www.youtube.com/watch?v=WhKJJGDCD_s</t>
  </si>
  <si>
    <t>https://www.youtube.com/watch?v=cUoW92pPW6A</t>
  </si>
  <si>
    <t>https://www.youtube.com/watch?v=TQclC9Ub5ns</t>
  </si>
  <si>
    <t>https://www.youtube.com/watch?v=a0OzdRZPHRE</t>
  </si>
  <si>
    <t>https://www.youtube.com/watch?v=ZhAuSBdSNHI</t>
  </si>
  <si>
    <t>https://www.youtube.com/watch?v=qKvlMDWBR2Q</t>
  </si>
  <si>
    <t>https://www.youtube.com/watch?v=fl1hXBibMnQ</t>
  </si>
  <si>
    <t>https://www.youtube.com/watch?v=JE1N-CwFUGM</t>
  </si>
  <si>
    <t>https://www.youtube.com/watch?v=hPCazHY6G-Y</t>
  </si>
  <si>
    <t>https://www.youtube.com/watch?v=eGyJNVweZaQ</t>
  </si>
  <si>
    <t>https://www.youtube.com/watch?v=ncrUSxkL_sY</t>
  </si>
  <si>
    <t>https://www.youtube.com/watch?v=vnHRgRmNZP8</t>
  </si>
  <si>
    <t>https://www.youtube.com/watch?v=kalf5XglgbM</t>
  </si>
  <si>
    <t>https://www.youtube.com/watch?v=IhBvErtI1uQ</t>
  </si>
  <si>
    <t>https://www.youtube.com/watch?v=beelhQgIwQg</t>
  </si>
  <si>
    <t>https://www.youtube.com/watch?v=WSx7_IaC_fs</t>
  </si>
  <si>
    <t>https://www.youtube.com/watch?v=BztATpubUAY</t>
  </si>
  <si>
    <t>https://www.youtube.com/watch?v=dQJ_GUaLH6Q</t>
  </si>
  <si>
    <t>https://www.youtube.com/watch?v=0B03bDjZHDk</t>
  </si>
  <si>
    <t>https://www.youtube.com/watch?v=sZH2sGQa3ho</t>
  </si>
  <si>
    <t>https://www.youtube.com/watch?v=DZFuxx_oUDA</t>
  </si>
  <si>
    <t>https://www.youtube.com/watch?v=liSTs8xEoCc</t>
  </si>
  <si>
    <t>https://www.youtube.com/watch?v=GOZ0P0LvwdQ</t>
  </si>
  <si>
    <t>https://www.youtube.com/watch?v=-TTqSIP7Sto</t>
  </si>
  <si>
    <t>https://www.youtube.com/watch?v=cFv52vYPLIA</t>
  </si>
  <si>
    <t>Selim Yüksel (Bıyıklı Matematik) (Bıyıklı Matematik)</t>
  </si>
  <si>
    <t>https://www.youtube.com/watch?v=bxT6Aq0oKnE</t>
  </si>
  <si>
    <t>https://www.youtube.com/watch?v=ihLjZmM1eCQ</t>
  </si>
  <si>
    <t>https://www.youtube.com/watch?v=E6G2AF8tLCg</t>
  </si>
  <si>
    <t>https://www.youtube.com/watch?v=wqiOd43MO2Y</t>
  </si>
  <si>
    <t>https://www.youtube.com/watch?v=DV0tZzKFbw0</t>
  </si>
  <si>
    <t>https://www.youtube.com/watch?v=CCHS1bjjgd0</t>
  </si>
  <si>
    <t>https://www.youtube.com/watch?v=lbQo1HUW8FY</t>
  </si>
  <si>
    <t>https://www.youtube.com/watch?v=RBxpd3_IerY</t>
  </si>
  <si>
    <t>https://www.youtube.com/watch?v=rT3Mi0etQLM</t>
  </si>
  <si>
    <t>https://www.youtube.com/watch?v=iYrcsT_jzdo</t>
  </si>
  <si>
    <t>https://www.youtube.com/watch?v=gBhyYWrABvQ</t>
  </si>
  <si>
    <t>https://www.youtube.com/watch?v=5T8DN1S2YwI</t>
  </si>
  <si>
    <t>https://www.youtube.com/watch?v=YeVQ00qziaA</t>
  </si>
  <si>
    <t>https://www.youtube.com/watch?v=A68_lQ9XW6g</t>
  </si>
  <si>
    <t>https://www.youtube.com/watch?v=aQYKVWFZlNQ</t>
  </si>
  <si>
    <t>https://www.youtube.com/watch?v=mnS87bJbCKw</t>
  </si>
  <si>
    <t>https://www.youtube.com/watch?v=lGeGrZYZUM0</t>
  </si>
  <si>
    <t>https://www.youtube.com/watch?v=zMvnodhsYmk</t>
  </si>
  <si>
    <t>https://www.youtube.com/watch?v=hTqC-UWZ858</t>
  </si>
  <si>
    <t>https://www.youtube.com/watch?v=sB6j_1KwGew</t>
  </si>
  <si>
    <t>https://www.youtube.com/watch?v=MFj5EwLG-6E</t>
  </si>
  <si>
    <t>https://www.youtube.com/watch?v=qNT_JmKKO8s</t>
  </si>
  <si>
    <t>https://www.youtube.com/watch?v=anb_qSrQQjE</t>
  </si>
  <si>
    <t>https://www.youtube.com/watch?v=uiaP_Y-ZzcE</t>
  </si>
  <si>
    <t>https://www.youtube.com/watch?v=UXehJSYS-sA</t>
  </si>
  <si>
    <t>https://www.youtube.com/watch?v=dcTZxF6iohw</t>
  </si>
  <si>
    <t>https://www.youtube.com/watch?v=viqfOjyrsn4</t>
  </si>
  <si>
    <t>https://www.youtube.com/watch?v=dwjfTc3SBqQ</t>
  </si>
  <si>
    <t>https://www.youtube.com/watch?v=2aRmxNJGjI4</t>
  </si>
  <si>
    <t>https://www.youtube.com/watch?v=MH7vtWRWqx0</t>
  </si>
  <si>
    <t>https://www.youtube.com/watch?v=qzRVRiHKrk4</t>
  </si>
  <si>
    <t>https://www.youtube.com/watch?v=fwscV-EXWJM</t>
  </si>
  <si>
    <t>https://www.youtube.com/watch?v=76yTqCS4udg</t>
  </si>
  <si>
    <t>https://www.youtube.com/watch?v=W3Mf3PZE3Kg</t>
  </si>
  <si>
    <t>https://www.youtube.com/watch?v=a7jZfubl-9A</t>
  </si>
  <si>
    <t>https://www.youtube.com/watch?v=wYDGmtAZX4A</t>
  </si>
  <si>
    <t>https://www.youtube.com/watch?v=BDLkzgnvyaI</t>
  </si>
  <si>
    <t>https://www.youtube.com/watch?v=f0uMYhlty1I</t>
  </si>
  <si>
    <t>https://www.youtube.com/watch?v=v3ExGWhLchI</t>
  </si>
  <si>
    <t>https://www.youtube.com/watch?v=27mNNo5lPbg</t>
  </si>
  <si>
    <t>https://www.youtube.com/watch?v=ID0T3bgeTNM</t>
  </si>
  <si>
    <t>https://www.youtube.com/watch?v=c_3HFVu9SsE</t>
  </si>
  <si>
    <t>https://www.youtube.com/watch?v=xQL-trHJ7tg</t>
  </si>
  <si>
    <t>https://www.youtube.com/watch?v=pJcyMxQbe6U</t>
  </si>
  <si>
    <t>https://www.youtube.com/watch?v=crUr3jS6ihw</t>
  </si>
  <si>
    <t>https://www.youtube.com/watch?v=2j2qS_-dfv0</t>
  </si>
  <si>
    <t>https://www.youtube.com/watch?v=Y_9XDgcWPlU</t>
  </si>
  <si>
    <t>https://www.youtube.com/watch?v=WrTYDjgavMs</t>
  </si>
  <si>
    <t>https://www.youtube.com/watch?v=1jIBKI5LkX4</t>
  </si>
  <si>
    <t>https://www.youtube.com/watch?v=ngNf6sSV2AM</t>
  </si>
  <si>
    <t>https://www.youtube.com/watch?v=YSOSb-GIaAI</t>
  </si>
  <si>
    <t>https://www.youtube.com/watch?v=CSh57mdmp8M</t>
  </si>
  <si>
    <t>https://www.youtube.com/watch?v=tsraxGMllWs</t>
  </si>
  <si>
    <t>https://www.youtube.com/watch?v=UyvkRA8LiL4</t>
  </si>
  <si>
    <t>https://www.youtube.com/watch?v=m5l3E7WZpzA</t>
  </si>
  <si>
    <t>https://www.youtube.com/watch?v=8TdEVuDF-tw</t>
  </si>
  <si>
    <t>https://www.youtube.com/watch?v=7IvKQipUEKo</t>
  </si>
  <si>
    <t>https://www.youtube.com/watch?v=Rva_rDpRQHE</t>
  </si>
  <si>
    <t>https://www.youtube.com/watch?v=yq3uZH4oeqs</t>
  </si>
  <si>
    <t>https://www.youtube.com/watch?v=9hRwlTPN2wI</t>
  </si>
  <si>
    <t>https://www.youtube.com/watch?v=-ayqcbvmA0A</t>
  </si>
  <si>
    <t>https://www.youtube.com/watch?v=xVtsZMnL7xY</t>
  </si>
  <si>
    <t>https://www.youtube.com/watch?v=l3OR1K3ECoc</t>
  </si>
  <si>
    <t>https://www.youtube.com/watch?v=aPpJG_nUgJg</t>
  </si>
  <si>
    <t>https://www.youtube.com/watch?v=4xqOdQUMXKQ</t>
  </si>
  <si>
    <t>https://www.youtube.com/watch?v=HJ6JDsQpbg4</t>
  </si>
  <si>
    <t>https://www.youtube.com/watch?v=gpw3BcdH0aA</t>
  </si>
  <si>
    <t>https://www.youtube.com/watch?v=p8E2ZMuJClc</t>
  </si>
  <si>
    <t>https://www.youtube.com/watch?v=goqxOiWSQ3E</t>
  </si>
  <si>
    <t>https://www.youtube.com/watch?v=M98x10YLfBQ</t>
  </si>
  <si>
    <t>https://www.youtube.com/watch?v=yMn5A4VAFOk</t>
  </si>
  <si>
    <t>https://www.youtube.com/watch?v=r0Z0xWWyRko</t>
  </si>
  <si>
    <t>https://www.youtube.com/watch?v=kO4l-STnJ9k</t>
  </si>
  <si>
    <t>https://www.youtube.com/watch?v=oAGTUOwevOA</t>
  </si>
  <si>
    <t>https://www.youtube.com/watch?v=RiQuHISN40M</t>
  </si>
  <si>
    <t>https://www.youtube.com/watch?v=caIEQWqiWSo</t>
  </si>
  <si>
    <t>https://www.youtube.com/watch?v=AoltUQWMf8o</t>
  </si>
  <si>
    <t>https://www.youtube.com/watch?v=6SUkVOGXEBk</t>
  </si>
  <si>
    <t>https://www.youtube.com/watch?v=kcQ2dNFGh44</t>
  </si>
  <si>
    <t>https://www.youtube.com/watch?v=cPEDrDls_lU</t>
  </si>
  <si>
    <t>https://www.youtube.com/watch?v=f6R05iXzFVg</t>
  </si>
  <si>
    <t>https://www.youtube.com/watch?v=IT1se6sN5tg</t>
  </si>
  <si>
    <t>https://www.youtube.com/watch?v=0Gbc5HpPMvA</t>
  </si>
  <si>
    <t>https://www.youtube.com/watch?v=hwhrPHANi3M</t>
  </si>
  <si>
    <t>https://www.youtube.com/watch?v=92dI17kb2M0</t>
  </si>
  <si>
    <t>https://www.youtube.com/watch?v=Pr4ZD-1XLX8</t>
  </si>
  <si>
    <t>https://www.youtube.com/watch?v=R0157WkKzME</t>
  </si>
  <si>
    <t>https://www.youtube.com/watch?v=PIisQjssKvk</t>
  </si>
  <si>
    <t>https://www.youtube.com/watch?v=prP3KopmlBs</t>
  </si>
  <si>
    <t>https://www.youtube.com/watch?v=0D_H9OBXneI</t>
  </si>
  <si>
    <t>https://www.youtube.com/watch?v=45o6PrqWlyw</t>
  </si>
  <si>
    <t>https://www.youtube.com/watch?v=F3709barRGw</t>
  </si>
  <si>
    <t>https://www.youtube.com/watch?v=jyBu22v0c8Q</t>
  </si>
  <si>
    <t>https://www.youtube.com/watch?v=qV3eVHDOJCw</t>
  </si>
  <si>
    <t>https://www.youtube.com/watch?v=mQ7yemIsPos</t>
  </si>
  <si>
    <t>https://www.youtube.com/watch?v=uHhk9AfsFt8</t>
  </si>
  <si>
    <t>https://www.youtube.com/watch?v=4nxx32WR2WM</t>
  </si>
  <si>
    <t>https://www.youtube.com/watch?v=BLrG0xkAJdM</t>
  </si>
  <si>
    <t>https://www.youtube.com/watch?v=b3lVtEUlTIs</t>
  </si>
  <si>
    <t>https://www.youtube.com/watch?v=LxGVs39rw4k</t>
  </si>
  <si>
    <t>https://www.youtube.com/watch?v=hUVTyF5Ims8</t>
  </si>
  <si>
    <t>https://www.youtube.com/watch?v=TVF5ztnq2Ng</t>
  </si>
  <si>
    <t>https://www.youtube.com/watch?v=xFv4YnLD8_g</t>
  </si>
  <si>
    <t>https://www.youtube.com/watch?v=qgRcS8RaEco</t>
  </si>
  <si>
    <t>https://www.youtube.com/watch?v=23WZF1TqysA</t>
  </si>
  <si>
    <t>https://www.youtube.com/watch?v=u-vETYWeF-k</t>
  </si>
  <si>
    <t>https://www.youtube.com/watch?v=5FszM5ZZJws</t>
  </si>
  <si>
    <t>https://www.youtube.com/watch?v=J1U1ul2i1Tk</t>
  </si>
  <si>
    <t>https://www.youtube.com/watch?v=PgfNXrs77Iw</t>
  </si>
  <si>
    <t>https://www.youtube.com/watch?v=kF_3RpJUpIQ</t>
  </si>
  <si>
    <t>https://www.youtube.com/watch?v=XwWPOgUAdMA</t>
  </si>
  <si>
    <t>https://www.youtube.com/watch?v=agsafROSFtk</t>
  </si>
  <si>
    <t>https://www.youtube.com/watch?v=L26aou1LKDU</t>
  </si>
  <si>
    <t>https://www.youtube.com/watch?v=V8XQYrwAoYw</t>
  </si>
  <si>
    <t>https://www.youtube.com/watch?v=MFGOJayhDZ0</t>
  </si>
  <si>
    <t>https://www.youtube.com/watch?v=5wmbFt7v4Gg</t>
  </si>
  <si>
    <t>https://www.youtube.com/watch?v=ysvAhNMEUMs</t>
  </si>
  <si>
    <t>https://www.youtube.com/watch?v=CrobTD7Szk4</t>
  </si>
  <si>
    <t>Semih Hoca (Biosem) (Biosem)</t>
  </si>
  <si>
    <t>https://www.youtube.com/watch?v=kP_Iw5sDn6o</t>
  </si>
  <si>
    <t>https://www.youtube.com/watch?v=4TSDgTt83yw</t>
  </si>
  <si>
    <t>https://www.youtube.com/watch?v=IQwcp4Az-Go</t>
  </si>
  <si>
    <t>https://www.youtube.com/watch?v=c_hxtT8aAME</t>
  </si>
  <si>
    <t>https://www.youtube.com/watch?v=54aCAbk_nyk</t>
  </si>
  <si>
    <t>https://www.youtube.com/watch?v=n6ctBdXpHio</t>
  </si>
  <si>
    <t>https://www.youtube.com/watch?v=c624Z5KFUws</t>
  </si>
  <si>
    <t>https://www.youtube.com/watch?v=153mncgjI_0</t>
  </si>
  <si>
    <t>https://www.youtube.com/watch?v=LHGLFmyC7Wg</t>
  </si>
  <si>
    <t>https://www.youtube.com/watch?v=gHXf_ivOAj4</t>
  </si>
  <si>
    <t>https://www.youtube.com/watch?v=xx-4ZGZiCBA</t>
  </si>
  <si>
    <t>https://www.youtube.com/watch?v=1b6us0n7nyM</t>
  </si>
  <si>
    <t>https://www.youtube.com/watch?v=QgRM1En9CrI</t>
  </si>
  <si>
    <t>https://www.youtube.com/watch?v=jR28GYW0FWQ</t>
  </si>
  <si>
    <t>https://www.youtube.com/watch?v=Ibl9i-dhoIw</t>
  </si>
  <si>
    <t>https://www.youtube.com/watch?v=UbbyKptspmE</t>
  </si>
  <si>
    <t>https://www.youtube.com/watch?v=4sekssArxv8</t>
  </si>
  <si>
    <t>https://www.youtube.com/watch?v=POMxssQGU3w</t>
  </si>
  <si>
    <t>https://www.youtube.com/watch?v=fzu-BucFTTI</t>
  </si>
  <si>
    <t>https://www.youtube.com/watch?v=fmYkNegIxVU</t>
  </si>
  <si>
    <t>https://www.youtube.com/watch?v=uLLhOCr9qCI</t>
  </si>
  <si>
    <t>https://www.youtube.com/watch?v=wENDnI16bKs</t>
  </si>
  <si>
    <t>https://www.youtube.com/watch?v=flUWKmeAShA</t>
  </si>
  <si>
    <t>https://www.youtube.com/watch?v=rETYCKA6Ay4</t>
  </si>
  <si>
    <t>https://www.youtube.com/watch?v=m6tfPJqIOoM</t>
  </si>
  <si>
    <t>https://www.youtube.com/watch?v=AlKUMvdiav0</t>
  </si>
  <si>
    <t>https://www.youtube.com/watch?v=ng-xl0wowhA</t>
  </si>
  <si>
    <t>https://www.youtube.com/watch?v=U4yZyaWbP34</t>
  </si>
  <si>
    <t>https://www.youtube.com/watch?v=Wb4fnAXthyU</t>
  </si>
  <si>
    <t>https://www.youtube.com/watch?v=e0azwJ3qqMc</t>
  </si>
  <si>
    <t>https://www.youtube.com/watch?v=uQQut8TKzJM</t>
  </si>
  <si>
    <t>https://www.youtube.com/watch?v=ZG8LnifzZME</t>
  </si>
  <si>
    <t>https://www.youtube.com/watch?v=cK63kJTVXPw</t>
  </si>
  <si>
    <t>https://www.youtube.com/watch?v=pAMJqQk0GU8</t>
  </si>
  <si>
    <t>https://www.youtube.com/watch?v=4IfwblGdRDc</t>
  </si>
  <si>
    <t>https://www.youtube.com/watch?v=1cjFMzl9no0</t>
  </si>
  <si>
    <t>https://www.youtube.com/watch?v=hQK6fnfpnto</t>
  </si>
  <si>
    <t>https://www.youtube.com/watch?v=ly7Fe7C-MrA</t>
  </si>
  <si>
    <t>https://www.youtube.com/watch?v=cpMg4ywOXsI</t>
  </si>
  <si>
    <t>https://www.youtube.com/watch?v=ln-8TpKO5Yw</t>
  </si>
  <si>
    <t>https://www.youtube.com/watch?v=PvpUD5bgjOI</t>
  </si>
  <si>
    <t>https://www.youtube.com/watch?v=Yr4wDH_aE5c</t>
  </si>
  <si>
    <t>https://www.youtube.com/watch?v=IdoqYgrLfko</t>
  </si>
  <si>
    <t>https://www.youtube.com/watch?v=fO5ErlbFFKg</t>
  </si>
  <si>
    <t>https://www.youtube.com/watch?v=egUF5SS90Go</t>
  </si>
  <si>
    <t>https://www.youtube.com/watch?v=gUEe_peRoyc</t>
  </si>
  <si>
    <t>https://www.youtube.com/watch?v=Q7GTxJk3EB8</t>
  </si>
  <si>
    <t>https://www.youtube.com/watch?v=C0Mo8REVrJU</t>
  </si>
  <si>
    <t>https://www.youtube.com/watch?v=HjDeRug1TT4</t>
  </si>
  <si>
    <t>https://www.youtube.com/watch?v=rHkrzq2pr-8</t>
  </si>
  <si>
    <t>https://www.youtube.com/watch?v=71IWKAo36ws</t>
  </si>
  <si>
    <t>https://www.youtube.com/watch?v=XfcZzqSOdV8</t>
  </si>
  <si>
    <t>https://www.youtube.com/watch?v=Rx4MpQygJ9s</t>
  </si>
  <si>
    <t>https://www.youtube.com/watch?v=yQYSwXn_MxI</t>
  </si>
  <si>
    <t>https://www.youtube.com/watch?v=pPRCXyeh8hA</t>
  </si>
  <si>
    <t>https://www.youtube.com/watch?v=0nEsI3vPrNI</t>
  </si>
  <si>
    <t>https://www.youtube.com/watch?v=4DfGjH7vOgo</t>
  </si>
  <si>
    <t>https://www.youtube.com/watch?v=daAQxQJy9Mk</t>
  </si>
  <si>
    <t>https://www.youtube.com/watch?v=ThWXpE6hpuk</t>
  </si>
  <si>
    <t>https://www.youtube.com/watch?v=tyDKO26-gi8</t>
  </si>
  <si>
    <t>https://www.youtube.com/watch?v=sDMw3uCBhUg</t>
  </si>
  <si>
    <t>https://www.youtube.com/watch?v=ef-xhEHLfkY</t>
  </si>
  <si>
    <t>https://www.youtube.com/watch?v=lXJBvn_kr3c</t>
  </si>
  <si>
    <t>https://www.youtube.com/watch?v=zrfUdZioZN0</t>
  </si>
  <si>
    <t>https://www.youtube.com/watch?v=PS24S_IYb-Q</t>
  </si>
  <si>
    <t>https://www.youtube.com/watch?v=AoLmIicicfw</t>
  </si>
  <si>
    <t>https://www.youtube.com/watch?v=FhlLVm2IV_0</t>
  </si>
  <si>
    <t>https://www.youtube.com/watch?v=2VPQjUvzn4A</t>
  </si>
  <si>
    <t>https://www.youtube.com/watch?v=OkLSI6V9Dos</t>
  </si>
  <si>
    <t>https://www.youtube.com/watch?v=xyT3RfN0P0Q</t>
  </si>
  <si>
    <t>https://www.youtube.com/watch?v=TzG7_jpYVwI</t>
  </si>
  <si>
    <t>https://www.youtube.com/watch?v=b-ObkCB0F2Y</t>
  </si>
  <si>
    <t>https://www.youtube.com/watch?v=L5ZkTF0AdCg</t>
  </si>
  <si>
    <t>https://www.youtube.com/watch?v=O79kJtny6CA</t>
  </si>
  <si>
    <t>https://www.youtube.com/watch?v=jwdz_0lAn9o</t>
  </si>
  <si>
    <t>https://www.youtube.com/watch?v=ANth1WQe2No</t>
  </si>
  <si>
    <t>https://www.youtube.com/watch?v=PxL73jp6LBI</t>
  </si>
  <si>
    <t>https://www.youtube.com/watch?v=na8Neg40aCw</t>
  </si>
  <si>
    <t>https://www.youtube.com/watch?v=hLGlPmULuhQ</t>
  </si>
  <si>
    <t>https://www.youtube.com/watch?v=gF-EtLZundw</t>
  </si>
  <si>
    <t>Altuğ Güneş (Fizikfinito) (Fizikfinito)</t>
  </si>
  <si>
    <t>https://www.youtube.com/watch?v=8aCrASa5LNU</t>
  </si>
  <si>
    <t>https://www.youtube.com/watch?v=c7fb03NOGy0</t>
  </si>
  <si>
    <t>https://www.youtube.com/watch?v=e6ioZV4hYSU</t>
  </si>
  <si>
    <t>https://www.youtube.com/watch?v=WIwHZznpGKQ</t>
  </si>
  <si>
    <t>https://www.youtube.com/watch?v=cshCAq2AxUQ</t>
  </si>
  <si>
    <t>https://www.youtube.com/watch?v=x9Wa0RKzEsI</t>
  </si>
  <si>
    <t>https://www.youtube.com/watch?v=T4dgvlJtq6k</t>
  </si>
  <si>
    <t>https://www.youtube.com/watch?v=vHetHAHaqAU</t>
  </si>
  <si>
    <t>https://www.youtube.com/watch?v=ZyX5gJOA2bA</t>
  </si>
  <si>
    <t>https://www.youtube.com/watch?v=WsPgzBVJcaI</t>
  </si>
  <si>
    <t>https://www.youtube.com/watch?v=mQUvNcxBhqc</t>
  </si>
  <si>
    <t>https://www.youtube.com/watch?v=J4G0uKRJoi8</t>
  </si>
  <si>
    <t>https://www.youtube.com/watch?v=1rRbBLf5acM</t>
  </si>
  <si>
    <t>https://www.youtube.com/watch?v=EGjWtskb5N4</t>
  </si>
  <si>
    <t>https://www.youtube.com/watch?v=beojPRT7nhc</t>
  </si>
  <si>
    <t>https://www.youtube.com/watch?v=uP1NABmhwsw</t>
  </si>
  <si>
    <t>https://www.youtube.com/watch?v=UO9aCa42AHE</t>
  </si>
  <si>
    <t>https://www.youtube.com/watch?v=2GhI0JcBv-g</t>
  </si>
  <si>
    <t>https://www.youtube.com/watch?v=NR0uKT_p5vo</t>
  </si>
  <si>
    <t>https://www.youtube.com/watch?v=Gz7_HmY9Bd8</t>
  </si>
  <si>
    <t>https://www.youtube.com/watch?v=taE02zwQsbY</t>
  </si>
  <si>
    <t>https://www.youtube.com/watch?v=jTzU_xCDCu8</t>
  </si>
  <si>
    <t>https://www.youtube.com/watch?v=Y_6qGvjITR8</t>
  </si>
  <si>
    <t>https://www.youtube.com/watch?v=ulUENtD0c1k</t>
  </si>
  <si>
    <t>https://www.youtube.com/watch?v=NeekIMOVfqk</t>
  </si>
  <si>
    <t>https://www.youtube.com/watch?v=GgxRAJ4K1ww</t>
  </si>
  <si>
    <t>https://www.youtube.com/watch?v=2Lgltia6Egk</t>
  </si>
  <si>
    <t>https://www.youtube.com/watch?v=T7VhmJVIFtE</t>
  </si>
  <si>
    <t>https://www.youtube.com/watch?v=ydRH8DhhBuw</t>
  </si>
  <si>
    <t>https://www.youtube.com/watch?v=wzh-Sx861SE</t>
  </si>
  <si>
    <t>https://www.youtube.com/watch?v=0S8GL7-yNxk</t>
  </si>
  <si>
    <t>https://www.youtube.com/watch?v=icLU7DAsur4</t>
  </si>
  <si>
    <t>https://www.youtube.com/watch?v=mE1ZT7xdgco</t>
  </si>
  <si>
    <t>https://www.youtube.com/watch?v=iG2ll97QsDU</t>
  </si>
  <si>
    <t>https://www.youtube.com/watch?v=uZ5KlDqek7A</t>
  </si>
  <si>
    <t>https://www.youtube.com/watch?v=vtN3kpwAnhw</t>
  </si>
  <si>
    <t>https://www.youtube.com/watch?v=ScUVNT9rFuk</t>
  </si>
  <si>
    <t>https://www.youtube.com/watch?v=ju7bbFpgob4</t>
  </si>
  <si>
    <t>https://www.youtube.com/watch?v=LkZyCQE4744</t>
  </si>
  <si>
    <t>https://www.youtube.com/watch?v=BqJEq3-kvhY</t>
  </si>
  <si>
    <t>https://www.youtube.com/watch?v=IJE7K5KR_go</t>
  </si>
  <si>
    <t>https://www.youtube.com/watch?v=21mBKHpGpBI</t>
  </si>
  <si>
    <t>https://www.youtube.com/watch?v=WhHfW7Ze4Sw</t>
  </si>
  <si>
    <t>https://www.youtube.com/watch?v=uyfC_2DFTIk</t>
  </si>
  <si>
    <t>https://www.youtube.com/watch?v=ZeGRxOWkxZM</t>
  </si>
  <si>
    <t>https://www.youtube.com/watch?v=OoJzdZZwZlY</t>
  </si>
  <si>
    <t>https://www.youtube.com/watch?v=jzPGqkSrVnc</t>
  </si>
  <si>
    <t>https://www.youtube.com/watch?v=FtgtnC0T4VU</t>
  </si>
  <si>
    <t>https://www.youtube.com/watch?v=dNDuQNz415I</t>
  </si>
  <si>
    <t>https://www.youtube.com/watch?v=EClJBEmXjnQ</t>
  </si>
  <si>
    <t>https://www.youtube.com/watch?v=5f8YLE7hOXc</t>
  </si>
  <si>
    <t>https://www.youtube.com/watch?v=NQv1-1csQVk</t>
  </si>
  <si>
    <t>https://www.youtube.com/watch?v=_mm_Mto5ISU</t>
  </si>
  <si>
    <t>https://www.youtube.com/watch?v=lbF31CRHN0c</t>
  </si>
  <si>
    <t>https://www.youtube.com/watch?v=U7CLR46HeYo</t>
  </si>
  <si>
    <t>https://www.youtube.com/watch?v=lLz_zE-zxno</t>
  </si>
  <si>
    <t>https://www.youtube.com/watch?v=aqB72SESx8Q</t>
  </si>
  <si>
    <t>https://www.youtube.com/watch?v=_LPCtvrftAI</t>
  </si>
  <si>
    <t>https://www.youtube.com/watch?v=YYLqUS8TSkc</t>
  </si>
  <si>
    <t>https://www.youtube.com/watch?v=cC7jTptVBnI</t>
  </si>
  <si>
    <t>https://www.youtube.com/watch?v=NLVgsH23wkc</t>
  </si>
  <si>
    <t>https://www.youtube.com/watch?v=FmERN6JoBBU</t>
  </si>
  <si>
    <t>https://www.youtube.com/watch?v=N4MUlx1-zco</t>
  </si>
  <si>
    <t>https://www.youtube.com/watch?v=1QvL2SFTolE</t>
  </si>
  <si>
    <t>https://www.youtube.com/watch?v=Ht30iQW6njc</t>
  </si>
  <si>
    <t>https://www.youtube.com/watch?v=VT31wvPjNIk</t>
  </si>
  <si>
    <t>https://www.youtube.com/watch?v=fNfuSpsZAg4</t>
  </si>
  <si>
    <t>https://www.youtube.com/watch?v=Zs0UiiIRFr0</t>
  </si>
  <si>
    <t>https://www.youtube.com/watch?v=QaIFjn-8Tc4</t>
  </si>
  <si>
    <t>https://www.youtube.com/watch?v=A-6upeBPIAM</t>
  </si>
  <si>
    <t>https://www.youtube.com/watch?v=gG5fqBNO6lc</t>
  </si>
  <si>
    <t>https://www.youtube.com/watch?v=hfB5ut8DNQc</t>
  </si>
  <si>
    <t>https://www.youtube.com/watch?v=7k1aiRvaqbU</t>
  </si>
  <si>
    <t>https://www.youtube.com/watch?v=cnMErolgXNc</t>
  </si>
  <si>
    <t>https://www.youtube.com/watch?v=EJ5x5RFnShI</t>
  </si>
  <si>
    <t>https://www.youtube.com/watch?v=SjWw99AQ5Yc</t>
  </si>
  <si>
    <t>Mesut Hoca (Meschemy Kimya) (Meschemy Kimya)</t>
  </si>
  <si>
    <t>https://www.youtube.com/watch?v=eJjc3Gq_D74</t>
  </si>
  <si>
    <t>https://www.youtube.com/watch?v=Vkh9O5EYjxI</t>
  </si>
  <si>
    <t>https://www.youtube.com/watch?v=TfQvjUiKACI</t>
  </si>
  <si>
    <t>https://www.youtube.com/watch?v=1IkCrGtTqW8</t>
  </si>
  <si>
    <t>https://www.youtube.com/watch?v=VyELnQ6trmE</t>
  </si>
  <si>
    <t>https://www.youtube.com/watch?v=nMdtXM7m2sE</t>
  </si>
  <si>
    <t>https://www.youtube.com/watch?v=vM33JUDUUUM</t>
  </si>
  <si>
    <t>https://www.youtube.com/watch?v=jBbvY5EZ0Cc</t>
  </si>
  <si>
    <t>https://www.youtube.com/watch?v=4pry5VIYcBo</t>
  </si>
  <si>
    <t>https://www.youtube.com/watch?v=QlsFYAh46Vg</t>
  </si>
  <si>
    <t>https://www.youtube.com/watch?v=oiMv9IC5tZ8</t>
  </si>
  <si>
    <t>https://www.youtube.com/watch?v=uhOuR2TfZx0</t>
  </si>
  <si>
    <t>https://www.youtube.com/watch?v=tVIvU1cJsNw</t>
  </si>
  <si>
    <t>https://www.youtube.com/watch?v=f2MdgTS7RGc</t>
  </si>
  <si>
    <t>https://www.youtube.com/watch?v=Qrh5_XB9z-w</t>
  </si>
  <si>
    <t>https://www.youtube.com/watch?v=EDuCkK9HVqk</t>
  </si>
  <si>
    <t>https://www.youtube.com/watch?v=WjQ_IE4i6zc</t>
  </si>
  <si>
    <t>https://www.youtube.com/watch?v=zxYWCgVliYM</t>
  </si>
  <si>
    <t>https://www.youtube.com/watch?v=Re8PMVvdXxY</t>
  </si>
  <si>
    <t>https://www.youtube.com/watch?v=pQUJGhBemaY</t>
  </si>
  <si>
    <t>https://www.youtube.com/watch?v=c08UfajYa6w</t>
  </si>
  <si>
    <t>https://www.youtube.com/watch?v=kIwwL5d23d4</t>
  </si>
  <si>
    <t>https://www.youtube.com/watch?v=qr6FbmxeWMo</t>
  </si>
  <si>
    <t>https://www.youtube.com/watch?v=rS1HfZY2-co</t>
  </si>
  <si>
    <t>https://www.youtube.com/watch?v=Ud4n3w9Lmmw</t>
  </si>
  <si>
    <t>https://www.youtube.com/watch?v=GEjfEaQDo30</t>
  </si>
  <si>
    <t>https://www.youtube.com/watch?v=vuc_wk4Ij70</t>
  </si>
  <si>
    <t>https://www.youtube.com/watch?v=y1JrxnSa8OU</t>
  </si>
  <si>
    <t>https://www.youtube.com/watch?v=VjGjjVymWaU</t>
  </si>
  <si>
    <t>https://www.youtube.com/watch?v=SYyxB-xnYGI</t>
  </si>
  <si>
    <t>https://www.youtube.com/watch?v=eMfyJwbkgYw</t>
  </si>
  <si>
    <t>https://www.youtube.com/watch?v=N1D5jSwC40M</t>
  </si>
  <si>
    <t>https://www.youtube.com/watch?v=pz4nzYYTzZ8</t>
  </si>
  <si>
    <t>https://www.youtube.com/watch?v=BymURksoSdI</t>
  </si>
  <si>
    <t>https://www.youtube.com/watch?v=VTg0T3eqq-0</t>
  </si>
  <si>
    <t>https://www.youtube.com/watch?v=xuF35qD7RRs</t>
  </si>
  <si>
    <t>https://www.youtube.com/watch?v=B07EURl_qb0</t>
  </si>
  <si>
    <t>https://www.youtube.com/watch?v=3APY6TJ-QTI</t>
  </si>
  <si>
    <t>https://www.youtube.com/watch?v=_4ubiFw5N64</t>
  </si>
  <si>
    <t>https://www.youtube.com/watch?v=wyT3JkW8HtY</t>
  </si>
  <si>
    <t>https://www.youtube.com/watch?v=LoKWXqICBSw</t>
  </si>
  <si>
    <t>https://www.youtube.com/watch?v=JY3h5cv0kms</t>
  </si>
  <si>
    <t>https://www.youtube.com/watch?v=KkoRfkGPkoI</t>
  </si>
  <si>
    <t>https://www.youtube.com/watch?v=HCy7AwKuCfk</t>
  </si>
  <si>
    <t>https://www.youtube.com/watch?v=nw4tXL1qXnI</t>
  </si>
  <si>
    <t>https://www.youtube.com/watch?v=PgMeQnhB37s</t>
  </si>
  <si>
    <t>https://www.youtube.com/watch?v=ZXSso5JgwCk</t>
  </si>
  <si>
    <t>https://www.youtube.com/watch?v=Cnx1pl7Xqxg</t>
  </si>
  <si>
    <t>https://www.youtube.com/watch?v=tp-XGA304fo</t>
  </si>
  <si>
    <t>https://www.youtube.com/watch?v=vRJhBgZLSTk</t>
  </si>
  <si>
    <t>https://www.youtube.com/watch?v=S8QdTIZM4_Y</t>
  </si>
  <si>
    <t>https://www.youtube.com/watch?v=cNsxL5iYBEA</t>
  </si>
  <si>
    <t>https://www.youtube.com/watch?v=J5oKSgPMa0U</t>
  </si>
  <si>
    <t>https://www.youtube.com/watch?v=AZ0t808BOAE</t>
  </si>
  <si>
    <t>https://www.youtube.com/watch?v=7EmdFesHy_Y</t>
  </si>
  <si>
    <t>https://www.youtube.com/watch?v=Qv7Bge69Qvo</t>
  </si>
  <si>
    <t>https://www.youtube.com/watch?v=oba7pDNMCP8</t>
  </si>
  <si>
    <t>https://www.youtube.com/watch?v=8IsvVsJlkX4</t>
  </si>
  <si>
    <t>https://www.youtube.com/watch?v=NgzxtD5yYO8</t>
  </si>
  <si>
    <t>https://www.youtube.com/watch?v=790DiDrhBj8</t>
  </si>
  <si>
    <t>https://www.youtube.com/watch?v=HT_ItO3JqY8</t>
  </si>
  <si>
    <t>https://www.youtube.com/watch?v=LU9koF2UG4c</t>
  </si>
  <si>
    <t>https://www.youtube.com/watch?v=mfmxjmjIAUE</t>
  </si>
  <si>
    <t>https://www.youtube.com/watch?v=OLktSCl5jWI</t>
  </si>
  <si>
    <t>https://www.youtube.com/watch?v=gt_IaitWxpw</t>
  </si>
  <si>
    <t>https://www.youtube.com/watch?v=K86xw5nK-bY</t>
  </si>
  <si>
    <t>https://www.youtube.com/watch?v=rKzkQv8hSZc</t>
  </si>
  <si>
    <t>https://www.youtube.com/watch?v=tNns2gAK76s</t>
  </si>
  <si>
    <t>https://www.youtube.com/watch?v=i0sOAwIDdds</t>
  </si>
  <si>
    <t>https://www.youtube.com/watch?v=pl-WFNimIpc</t>
  </si>
  <si>
    <t>https://www.youtube.com/watch?v=uA4HNDk8zxg</t>
  </si>
  <si>
    <t>https://www.youtube.com/watch?v=MBkOKLnKDNM</t>
  </si>
  <si>
    <t>https://www.youtube.com/watch?v=2R7pAJ6FG0c</t>
  </si>
  <si>
    <t>https://www.youtube.com/watch?v=bXOiMpmYtVo</t>
  </si>
  <si>
    <t>https://www.youtube.com/watch?v=p3EW3sLQ-cM</t>
  </si>
  <si>
    <t>https://www.youtube.com/watch?v=qVCHik-YOt8</t>
  </si>
  <si>
    <t>https://www.youtube.com/watch?v=Fxd5yBiAvlU</t>
  </si>
  <si>
    <t>https://www.youtube.com/watch?v=DoH_XeHuSOg</t>
  </si>
  <si>
    <t>https://www.youtube.com/watch?v=4sCNr8i-OyU</t>
  </si>
  <si>
    <t>Deniz Hoca (Deniz Hoca)</t>
  </si>
  <si>
    <t>https://www.youtube.com/watch?v=T5ltkm9tnno</t>
  </si>
  <si>
    <t>https://www.youtube.com/watch?v=y76XQCWECWk</t>
  </si>
  <si>
    <t>https://www.youtube.com/watch?v=cwGwpIiteJs</t>
  </si>
  <si>
    <t>https://www.youtube.com/watch?v=giM3W7-NsiE</t>
  </si>
  <si>
    <t>https://www.youtube.com/watch?v=3NxyqaLILQs</t>
  </si>
  <si>
    <t>https://www.youtube.com/watch?v=K4Im_1jLd0E</t>
  </si>
  <si>
    <t>https://www.youtube.com/watch?v=DbMQnF_gYac</t>
  </si>
  <si>
    <t>https://www.youtube.com/watch?v=jgDVDyqy8JY</t>
  </si>
  <si>
    <t>https://www.youtube.com/watch?v=oEU7xn1jNA4</t>
  </si>
  <si>
    <t>https://www.youtube.com/watch?v=a33FreQ_Rcg</t>
  </si>
  <si>
    <t>https://www.youtube.com/watch?v=Hz-F5oipsvo</t>
  </si>
  <si>
    <t>https://www.youtube.com/watch?v=gATbykuFRLg</t>
  </si>
  <si>
    <t>https://www.youtube.com/watch?v=I5bw1KyZHE8</t>
  </si>
  <si>
    <t>https://www.youtube.com/watch?v=FrhgzDtA3QU</t>
  </si>
  <si>
    <t>https://www.youtube.com/watch?v=Jcei7RBpVqg</t>
  </si>
  <si>
    <t>https://www.youtube.com/watch?v=MmXmbvISn8E</t>
  </si>
  <si>
    <t>https://www.youtube.com/watch?v=9rMyiZtFNyw</t>
  </si>
  <si>
    <t>https://www.youtube.com/watch?v=LlDIvz4atMY</t>
  </si>
  <si>
    <t>https://www.youtube.com/watch?v=JDH9zKGVBcY</t>
  </si>
  <si>
    <t>https://www.youtube.com/watch?v=5AjSuZgNNd4</t>
  </si>
  <si>
    <t>https://www.youtube.com/watch?v=1YuPytLDTU4</t>
  </si>
  <si>
    <t>https://www.youtube.com/watch?v=Hje-prdojOc</t>
  </si>
  <si>
    <t>https://www.youtube.com/watch?v=g5ldltsfzt4</t>
  </si>
  <si>
    <t>https://www.youtube.com/watch?v=rhL2DcjtYyA</t>
  </si>
  <si>
    <t>https://www.youtube.com/watch?v=GpjdCsVCsBw</t>
  </si>
  <si>
    <t>https://www.youtube.com/watch?v=xVaF7NSCGn8</t>
  </si>
  <si>
    <t>https://www.youtube.com/watch?v=Ui5qCT1-lec</t>
  </si>
  <si>
    <t>https://www.youtube.com/watch?v=U1LrdLu9gTQ</t>
  </si>
  <si>
    <t>https://www.youtube.com/watch?v=j7rLnaZjJuY</t>
  </si>
  <si>
    <t>https://www.youtube.com/watch?v=1j2qgcjwJDU</t>
  </si>
  <si>
    <t>https://www.youtube.com/watch?v=YHazYCmGPiU</t>
  </si>
  <si>
    <t>https://www.youtube.com/watch?v=r8ost3qHwPA</t>
  </si>
  <si>
    <t>https://www.youtube.com/watch?v=c6WbU2w6k9o</t>
  </si>
  <si>
    <t>https://www.youtube.com/watch?v=c0bBEiRnDeA</t>
  </si>
  <si>
    <t>https://www.youtube.com/watch?v=gabo8V4vtsY</t>
  </si>
  <si>
    <t>https://www.youtube.com/watch?v=r9xlfM7VHxY</t>
  </si>
  <si>
    <t>https://www.youtube.com/watch?v=c51WdskyUxc</t>
  </si>
  <si>
    <t>https://www.youtube.com/watch?v=RZOnRObY0XE</t>
  </si>
  <si>
    <t>https://www.youtube.com/watch?v=3goCEO3IKao</t>
  </si>
  <si>
    <t>https://www.youtube.com/watch?v=CaNvOmOiyys</t>
  </si>
  <si>
    <t>https://www.youtube.com/watch?v=6GykLs6y6jw</t>
  </si>
  <si>
    <t>https://www.youtube.com/watch?v=ymzVO-qfH1Q</t>
  </si>
  <si>
    <t>https://www.youtube.com/watch?v=NkgtG0A2Ulw</t>
  </si>
  <si>
    <t>https://www.youtube.com/watch?v=Sp8qEeJ-6SI</t>
  </si>
  <si>
    <t>https://www.youtube.com/watch?v=E03Hc04QgYg</t>
  </si>
  <si>
    <t>https://www.youtube.com/watch?v=3UdtWFTuq70</t>
  </si>
  <si>
    <t>https://www.youtube.com/watch?v=UgeqcLWJMFA</t>
  </si>
  <si>
    <t>https://www.youtube.com/watch?v=u9XkQmBWaxw</t>
  </si>
  <si>
    <t>https://www.youtube.com/watch?v=Yqt4B0gRtXg</t>
  </si>
  <si>
    <t>https://www.youtube.com/watch?v=oaq9-1NGIxI</t>
  </si>
  <si>
    <t>https://www.youtube.com/watch?v=Oii8uQbtZ5c</t>
  </si>
  <si>
    <t>https://www.youtube.com/watch?v=GdH9UFW8GMI</t>
  </si>
  <si>
    <t>https://www.youtube.com/watch?v=cznJD4brmvY</t>
  </si>
  <si>
    <t>https://www.youtube.com/watch?v=6eVuM2q59A0</t>
  </si>
  <si>
    <t>https://www.youtube.com/watch?v=po9GdQjkJi8</t>
  </si>
  <si>
    <t>https://www.youtube.com/watch?v=d4E3ZA2xfDs</t>
  </si>
  <si>
    <t>https://www.youtube.com/watch?v=n7hE8_AyFbI</t>
  </si>
  <si>
    <t>https://www.youtube.com/watch?v=hNyppOEiT2w</t>
  </si>
  <si>
    <t>https://www.youtube.com/watch?v=9zERYwQ3F3A</t>
  </si>
  <si>
    <t>https://www.youtube.com/watch?v=NbvNqF383g4</t>
  </si>
  <si>
    <t>https://www.youtube.com/watch?v=3brMyiiSs9o</t>
  </si>
  <si>
    <t>https://www.youtube.com/watch?v=HsEUVpW7QUo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</si>
</sst>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 &quot;Saat&quot;"/>
    <numFmt numFmtId="166" formatCode="0.0"/>
  </numFmts>
  <fonts count="2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color rgb="FF94A3B8"/>
      <sz val="9.5"/>
      <name val="Segoe UI"/>
    </font>
    <font>
      <b/>
      <color rgb="FFFFFFFF"/>
      <sz val="11"/>
      <name val="Segoe UI"/>
    </font>
    <font>
      <b/>
      <color rgb="FF64748B"/>
      <sz val="9"/>
      <name val="Segoe UI"/>
    </font>
    <font>
      <b/>
      <color rgb="FF0F172A"/>
      <sz val="15"/>
      <name val="Segoe UI"/>
    </font>
    <font>
      <b/>
      <color rgb="FF166534"/>
      <sz val="15"/>
      <name val="Segoe UI"/>
    </font>
    <font>
      <b/>
      <color rgb="FF991B1B"/>
      <sz val="15"/>
      <name val="Segoe UI"/>
    </font>
    <font>
      <b/>
      <color rgb="FF2563EB"/>
      <sz val="15"/>
      <name val="Segoe UI"/>
    </font>
    <font>
      <b/>
      <color rgb="FF92400E"/>
      <sz val="15"/>
      <name val="Segoe UI"/>
    </font>
    <font>
      <b/>
      <color rgb="FFFFFFFF"/>
      <sz val="10.5"/>
      <name val="Segoe UI"/>
    </font>
    <font>
      <b/>
      <color rgb="FF1E293B"/>
      <sz val="10"/>
      <name val="Segoe UI"/>
    </font>
    <font>
      <color rgb="FF0F172A"/>
      <sz val="10"/>
      <name val="Segoe UI"/>
    </font>
    <font>
      <u/>
      <color rgb="FF2563EB"/>
      <sz val="10"/>
      <name val="Segoe UI"/>
    </font>
    <font>
      <i/>
      <color rgb="FF92400E"/>
      <sz val="9.5"/>
      <name val="Segoe UI"/>
    </font>
    <font>
      <b/>
      <color rgb="FF1E293B"/>
      <sz val="9.5"/>
      <name val="Segoe UI"/>
    </font>
    <font>
      <b/>
      <color rgb="FF991B1B"/>
      <sz val="11"/>
      <name val="Segoe UI"/>
    </font>
    <font>
      <color rgb="FF2563EB"/>
      <sz val="10"/>
      <name val="Segoe UI"/>
    </font>
    <font>
      <b/>
      <color rgb="FFFFFFFF"/>
      <sz val="10"/>
      <name val="Segoe UI"/>
    </font>
    <font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8FAFC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left" vertical="center" indent="1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166" fontId="12" fillId="5" borderId="3" xfId="0" applyNumberFormat="1" applyFont="1" applyFill="1" applyBorder="1" applyAlignment="1">
      <alignment horizontal="right" vertical="center"/>
    </xf>
    <xf numFmtId="0" fontId="13" fillId="5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166" fontId="15" fillId="4" borderId="5" xfId="0" applyNumberFormat="1" applyFont="1" applyFill="1" applyBorder="1" applyAlignment="1">
      <alignment horizontal="right" vertical="center"/>
    </xf>
    <xf numFmtId="0" fontId="16" fillId="9" borderId="6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right" vertical="center"/>
    </xf>
    <xf numFmtId="0" fontId="17" fillId="5" borderId="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166" fontId="18" fillId="2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/>
    </xf>
    <xf numFmtId="3" fontId="12" fillId="5" borderId="3" xfId="0" applyNumberFormat="1" applyFont="1" applyFill="1" applyBorder="1" applyAlignment="1">
      <alignment horizontal="right" vertical="center"/>
    </xf>
    <xf numFmtId="0" fontId="19" fillId="0" borderId="3" xfId="0" applyFont="1" applyBorder="1" applyAlignment="1">
      <alignment vertical="center"/>
    </xf>
    <xf numFmtId="0" fontId="12" fillId="10" borderId="3" xfId="0" applyFont="1" applyFill="1" applyBorder="1" applyAlignment="1">
      <alignment horizontal="left" vertical="center"/>
    </xf>
    <xf numFmtId="3" fontId="12" fillId="10" borderId="3" xfId="0" applyNumberFormat="1" applyFont="1" applyFill="1" applyBorder="1" applyAlignment="1">
      <alignment horizontal="right" vertical="center"/>
    </xf>
    <xf numFmtId="166" fontId="12" fillId="1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">
    <dxf>
      <fill>
        <patternFill patternType="solid">
          <fgColor rgb="FFDCFCE7"/>
          <bgColor rgb="FFDCFCE7"/>
        </patternFill>
      </fill>
    </dxf>
    <dxf>
      <fill>
        <patternFill patternType="solid">
          <fgColor rgb="FFDCFCE7"/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JiIDhhHGRJo" TargetMode="External"/><Relationship Id="rId2" Type="http://schemas.openxmlformats.org/officeDocument/2006/relationships/hyperlink" Target="https://www.youtube.com/watch?v=juJFHVk7ieE" TargetMode="External"/><Relationship Id="rId3" Type="http://schemas.openxmlformats.org/officeDocument/2006/relationships/hyperlink" Target="https://www.youtube.com/watch?v=CPtQWAQjW2g" TargetMode="External"/><Relationship Id="rId4" Type="http://schemas.openxmlformats.org/officeDocument/2006/relationships/hyperlink" Target="https://www.youtube.com/watch?v=l5tQfbL89G4" TargetMode="External"/><Relationship Id="rId5" Type="http://schemas.openxmlformats.org/officeDocument/2006/relationships/hyperlink" Target="https://www.youtube.com/watch?v=bxT6Aq0oKnE" TargetMode="External"/><Relationship Id="rId6" Type="http://schemas.openxmlformats.org/officeDocument/2006/relationships/hyperlink" Target="https://www.youtube.com/watch?v=ihLjZmM1eCQ" TargetMode="External"/><Relationship Id="rId7" Type="http://schemas.openxmlformats.org/officeDocument/2006/relationships/hyperlink" Target="https://www.youtube.com/watch?v=5QxOpTALmEE" TargetMode="External"/><Relationship Id="rId8" Type="http://schemas.openxmlformats.org/officeDocument/2006/relationships/hyperlink" Target="https://www.youtube.com/watch?v=lqEZ19uwyas" TargetMode="External"/><Relationship Id="rId9" Type="http://schemas.openxmlformats.org/officeDocument/2006/relationships/hyperlink" Target="https://www.youtube.com/watch?v=kP_Iw5sDn6o" TargetMode="External"/><Relationship Id="rId10" Type="http://schemas.openxmlformats.org/officeDocument/2006/relationships/hyperlink" Target="https://www.youtube.com/watch?v=4TSDgTt83yw" TargetMode="External"/><Relationship Id="rId11" Type="http://schemas.openxmlformats.org/officeDocument/2006/relationships/hyperlink" Target="https://www.youtube.com/watch?v=T5ltkm9tnno" TargetMode="External"/><Relationship Id="rId12" Type="http://schemas.openxmlformats.org/officeDocument/2006/relationships/hyperlink" Target="https://www.youtube.com/watch?v=y76XQCWECWk" TargetMode="External"/><Relationship Id="rId13" Type="http://schemas.openxmlformats.org/officeDocument/2006/relationships/hyperlink" Target="https://www.youtube.com/watch?v=E6G2AF8tLCg" TargetMode="External"/><Relationship Id="rId14" Type="http://schemas.openxmlformats.org/officeDocument/2006/relationships/hyperlink" Target="https://www.youtube.com/watch?v=wqiOd43MO2Y" TargetMode="External"/><Relationship Id="rId15" Type="http://schemas.openxmlformats.org/officeDocument/2006/relationships/hyperlink" Target="https://www.youtube.com/watch?v=eJjc3Gq_D74" TargetMode="External"/><Relationship Id="rId16" Type="http://schemas.openxmlformats.org/officeDocument/2006/relationships/hyperlink" Target="https://www.youtube.com/watch?v=Vkh9O5EYjxI" TargetMode="External"/><Relationship Id="rId17" Type="http://schemas.openxmlformats.org/officeDocument/2006/relationships/hyperlink" Target="https://www.youtube.com/watch?v=8aCrASa5LNU" TargetMode="External"/><Relationship Id="rId18" Type="http://schemas.openxmlformats.org/officeDocument/2006/relationships/hyperlink" Target="https://www.youtube.com/watch?v=c7fb03NOGy0" TargetMode="External"/><Relationship Id="rId19" Type="http://schemas.openxmlformats.org/officeDocument/2006/relationships/hyperlink" Target="https://www.youtube.com/watch?v=cwGwpIiteJs" TargetMode="External"/><Relationship Id="rId20" Type="http://schemas.openxmlformats.org/officeDocument/2006/relationships/hyperlink" Target="https://www.youtube.com/watch?v=giM3W7-NsiE" TargetMode="External"/><Relationship Id="rId21" Type="http://schemas.openxmlformats.org/officeDocument/2006/relationships/hyperlink" Target="https://www.youtube.com/watch?v=v8WWf5qwFwg" TargetMode="External"/><Relationship Id="rId22" Type="http://schemas.openxmlformats.org/officeDocument/2006/relationships/hyperlink" Target="https://www.youtube.com/watch?v=GmBrSdlmuqE" TargetMode="External"/><Relationship Id="rId23" Type="http://schemas.openxmlformats.org/officeDocument/2006/relationships/hyperlink" Target="https://www.youtube.com/watch?v=IQwcp4Az-Go" TargetMode="External"/><Relationship Id="rId24" Type="http://schemas.openxmlformats.org/officeDocument/2006/relationships/hyperlink" Target="https://www.youtube.com/watch?v=c_hxtT8aAME" TargetMode="External"/><Relationship Id="rId25" Type="http://schemas.openxmlformats.org/officeDocument/2006/relationships/hyperlink" Target="https://www.youtube.com/watch?v=_jpMxZQ3PF0" TargetMode="External"/><Relationship Id="rId26" Type="http://schemas.openxmlformats.org/officeDocument/2006/relationships/hyperlink" Target="https://www.youtube.com/watch?v=L0LrvZN0iqY" TargetMode="External"/><Relationship Id="rId27" Type="http://schemas.openxmlformats.org/officeDocument/2006/relationships/hyperlink" Target="https://www.youtube.com/watch?v=TLVVxhghVd8" TargetMode="External"/><Relationship Id="rId28" Type="http://schemas.openxmlformats.org/officeDocument/2006/relationships/hyperlink" Target="https://www.youtube.com/watch?v=Zx6bArZ49Gg" TargetMode="External"/><Relationship Id="rId29" Type="http://schemas.openxmlformats.org/officeDocument/2006/relationships/hyperlink" Target="https://www.youtube.com/watch?v=DV0tZzKFbw0" TargetMode="External"/><Relationship Id="rId30" Type="http://schemas.openxmlformats.org/officeDocument/2006/relationships/hyperlink" Target="https://www.youtube.com/watch?v=CCHS1bjjgd0" TargetMode="External"/><Relationship Id="rId31" Type="http://schemas.openxmlformats.org/officeDocument/2006/relationships/hyperlink" Target="https://www.youtube.com/watch?v=ptTEW1Ys6Ok" TargetMode="External"/><Relationship Id="rId32" Type="http://schemas.openxmlformats.org/officeDocument/2006/relationships/hyperlink" Target="https://www.youtube.com/watch?v=s0HxKUMdT98" TargetMode="External"/><Relationship Id="rId33" Type="http://schemas.openxmlformats.org/officeDocument/2006/relationships/hyperlink" Target="https://www.youtube.com/watch?v=54aCAbk_nyk" TargetMode="External"/><Relationship Id="rId34" Type="http://schemas.openxmlformats.org/officeDocument/2006/relationships/hyperlink" Target="https://www.youtube.com/watch?v=n6ctBdXpHio" TargetMode="External"/><Relationship Id="rId35" Type="http://schemas.openxmlformats.org/officeDocument/2006/relationships/hyperlink" Target="https://www.youtube.com/watch?v=3NxyqaLILQs" TargetMode="External"/><Relationship Id="rId36" Type="http://schemas.openxmlformats.org/officeDocument/2006/relationships/hyperlink" Target="https://www.youtube.com/watch?v=K4Im_1jLd0E" TargetMode="External"/><Relationship Id="rId37" Type="http://schemas.openxmlformats.org/officeDocument/2006/relationships/hyperlink" Target="https://www.youtube.com/watch?v=lbQo1HUW8FY" TargetMode="External"/><Relationship Id="rId38" Type="http://schemas.openxmlformats.org/officeDocument/2006/relationships/hyperlink" Target="https://www.youtube.com/watch?v=RBxpd3_IerY" TargetMode="External"/><Relationship Id="rId39" Type="http://schemas.openxmlformats.org/officeDocument/2006/relationships/hyperlink" Target="https://www.youtube.com/watch?v=TfQvjUiKACI" TargetMode="External"/><Relationship Id="rId40" Type="http://schemas.openxmlformats.org/officeDocument/2006/relationships/hyperlink" Target="https://www.youtube.com/watch?v=1IkCrGtTqW8" TargetMode="External"/><Relationship Id="rId41" Type="http://schemas.openxmlformats.org/officeDocument/2006/relationships/hyperlink" Target="https://www.youtube.com/watch?v=e6ioZV4hYSU" TargetMode="External"/><Relationship Id="rId42" Type="http://schemas.openxmlformats.org/officeDocument/2006/relationships/hyperlink" Target="https://www.youtube.com/watch?v=WIwHZznpGKQ" TargetMode="External"/><Relationship Id="rId43" Type="http://schemas.openxmlformats.org/officeDocument/2006/relationships/hyperlink" Target="https://www.youtube.com/watch?v=DbMQnF_gYac" TargetMode="External"/><Relationship Id="rId44" Type="http://schemas.openxmlformats.org/officeDocument/2006/relationships/hyperlink" Target="https://www.youtube.com/watch?v=jgDVDyqy8JY" TargetMode="External"/><Relationship Id="rId45" Type="http://schemas.openxmlformats.org/officeDocument/2006/relationships/hyperlink" Target="https://www.youtube.com/watch?v=umZ1I3gYXMk" TargetMode="External"/><Relationship Id="rId46" Type="http://schemas.openxmlformats.org/officeDocument/2006/relationships/hyperlink" Target="https://www.youtube.com/watch?v=XJASq7FFjOA" TargetMode="External"/><Relationship Id="rId47" Type="http://schemas.openxmlformats.org/officeDocument/2006/relationships/hyperlink" Target="https://www.youtube.com/watch?v=c624Z5KFUws" TargetMode="External"/><Relationship Id="rId48" Type="http://schemas.openxmlformats.org/officeDocument/2006/relationships/hyperlink" Target="https://www.youtube.com/watch?v=153mncgjI_0" TargetMode="External"/><Relationship Id="rId49" Type="http://schemas.openxmlformats.org/officeDocument/2006/relationships/hyperlink" Target="https://www.youtube.com/watch?v=Ym4ZBYlY6Q8" TargetMode="External"/><Relationship Id="rId50" Type="http://schemas.openxmlformats.org/officeDocument/2006/relationships/hyperlink" Target="https://www.youtube.com/watch?v=pDJsRjdzzlc" TargetMode="External"/><Relationship Id="rId51" Type="http://schemas.openxmlformats.org/officeDocument/2006/relationships/hyperlink" Target="https://www.youtube.com/watch?v=k7Akbo06kIw" TargetMode="External"/><Relationship Id="rId52" Type="http://schemas.openxmlformats.org/officeDocument/2006/relationships/hyperlink" Target="https://www.youtube.com/watch?v=BDTd3m9KY4E" TargetMode="External"/><Relationship Id="rId53" Type="http://schemas.openxmlformats.org/officeDocument/2006/relationships/hyperlink" Target="https://www.youtube.com/watch?v=rT3Mi0etQLM" TargetMode="External"/><Relationship Id="rId54" Type="http://schemas.openxmlformats.org/officeDocument/2006/relationships/hyperlink" Target="https://www.youtube.com/watch?v=iYrcsT_jzdo" TargetMode="External"/><Relationship Id="rId55" Type="http://schemas.openxmlformats.org/officeDocument/2006/relationships/hyperlink" Target="https://www.youtube.com/watch?v=HnfJxjk5nrY" TargetMode="External"/><Relationship Id="rId56" Type="http://schemas.openxmlformats.org/officeDocument/2006/relationships/hyperlink" Target="https://www.youtube.com/watch?v=Vci8OnLpN3Y" TargetMode="External"/><Relationship Id="rId57" Type="http://schemas.openxmlformats.org/officeDocument/2006/relationships/hyperlink" Target="https://www.youtube.com/watch?v=LHGLFmyC7Wg" TargetMode="External"/><Relationship Id="rId58" Type="http://schemas.openxmlformats.org/officeDocument/2006/relationships/hyperlink" Target="https://www.youtube.com/watch?v=gHXf_ivOAj4" TargetMode="External"/><Relationship Id="rId59" Type="http://schemas.openxmlformats.org/officeDocument/2006/relationships/hyperlink" Target="https://www.youtube.com/watch?v=oEU7xn1jNA4" TargetMode="External"/><Relationship Id="rId60" Type="http://schemas.openxmlformats.org/officeDocument/2006/relationships/hyperlink" Target="https://www.youtube.com/watch?v=a33FreQ_Rcg" TargetMode="External"/><Relationship Id="rId61" Type="http://schemas.openxmlformats.org/officeDocument/2006/relationships/hyperlink" Target="https://www.youtube.com/watch?v=gBhyYWrABvQ" TargetMode="External"/><Relationship Id="rId62" Type="http://schemas.openxmlformats.org/officeDocument/2006/relationships/hyperlink" Target="https://www.youtube.com/watch?v=5T8DN1S2YwI" TargetMode="External"/><Relationship Id="rId63" Type="http://schemas.openxmlformats.org/officeDocument/2006/relationships/hyperlink" Target="https://www.youtube.com/watch?v=VyELnQ6trmE" TargetMode="External"/><Relationship Id="rId64" Type="http://schemas.openxmlformats.org/officeDocument/2006/relationships/hyperlink" Target="https://www.youtube.com/watch?v=nMdtXM7m2sE" TargetMode="External"/><Relationship Id="rId65" Type="http://schemas.openxmlformats.org/officeDocument/2006/relationships/hyperlink" Target="https://www.youtube.com/watch?v=cshCAq2AxUQ" TargetMode="External"/><Relationship Id="rId66" Type="http://schemas.openxmlformats.org/officeDocument/2006/relationships/hyperlink" Target="https://www.youtube.com/watch?v=x9Wa0RKzEsI" TargetMode="External"/><Relationship Id="rId67" Type="http://schemas.openxmlformats.org/officeDocument/2006/relationships/hyperlink" Target="https://www.youtube.com/watch?v=Hz-F5oipsvo" TargetMode="External"/><Relationship Id="rId68" Type="http://schemas.openxmlformats.org/officeDocument/2006/relationships/hyperlink" Target="https://www.youtube.com/watch?v=gATbykuFRLg" TargetMode="External"/><Relationship Id="rId69" Type="http://schemas.openxmlformats.org/officeDocument/2006/relationships/hyperlink" Target="https://www.youtube.com/watch?v=HLbzOMaSQSg" TargetMode="External"/><Relationship Id="rId70" Type="http://schemas.openxmlformats.org/officeDocument/2006/relationships/hyperlink" Target="https://www.youtube.com/watch?v=7mvoe1vHDqo" TargetMode="External"/><Relationship Id="rId71" Type="http://schemas.openxmlformats.org/officeDocument/2006/relationships/hyperlink" Target="https://www.youtube.com/watch?v=xx-4ZGZiCBA" TargetMode="External"/><Relationship Id="rId72" Type="http://schemas.openxmlformats.org/officeDocument/2006/relationships/hyperlink" Target="https://www.youtube.com/watch?v=1b6us0n7nyM" TargetMode="External"/><Relationship Id="rId73" Type="http://schemas.openxmlformats.org/officeDocument/2006/relationships/hyperlink" Target="https://www.youtube.com/watch?v=HNLnHGWoa5U" TargetMode="External"/><Relationship Id="rId74" Type="http://schemas.openxmlformats.org/officeDocument/2006/relationships/hyperlink" Target="https://www.youtube.com/watch?v=1EHh06Rm6j0" TargetMode="External"/><Relationship Id="rId75" Type="http://schemas.openxmlformats.org/officeDocument/2006/relationships/hyperlink" Target="https://www.youtube.com/watch?v=JrRJFujEIJw" TargetMode="External"/><Relationship Id="rId76" Type="http://schemas.openxmlformats.org/officeDocument/2006/relationships/hyperlink" Target="https://www.youtube.com/watch?v=LMWkh7rf9QY" TargetMode="External"/><Relationship Id="rId77" Type="http://schemas.openxmlformats.org/officeDocument/2006/relationships/hyperlink" Target="https://www.youtube.com/watch?v=YeVQ00qziaA" TargetMode="External"/><Relationship Id="rId78" Type="http://schemas.openxmlformats.org/officeDocument/2006/relationships/hyperlink" Target="https://www.youtube.com/watch?v=A68_lQ9XW6g" TargetMode="External"/><Relationship Id="rId79" Type="http://schemas.openxmlformats.org/officeDocument/2006/relationships/hyperlink" Target="https://www.youtube.com/watch?v=pWgglk6RM8M" TargetMode="External"/><Relationship Id="rId80" Type="http://schemas.openxmlformats.org/officeDocument/2006/relationships/hyperlink" Target="https://www.youtube.com/watch?v=3-4mLn14W88" TargetMode="External"/><Relationship Id="rId81" Type="http://schemas.openxmlformats.org/officeDocument/2006/relationships/hyperlink" Target="https://www.youtube.com/watch?v=QgRM1En9CrI" TargetMode="External"/><Relationship Id="rId82" Type="http://schemas.openxmlformats.org/officeDocument/2006/relationships/hyperlink" Target="https://www.youtube.com/watch?v=jR28GYW0FWQ" TargetMode="External"/><Relationship Id="rId83" Type="http://schemas.openxmlformats.org/officeDocument/2006/relationships/hyperlink" Target="https://www.youtube.com/watch?v=I5bw1KyZHE8" TargetMode="External"/><Relationship Id="rId84" Type="http://schemas.openxmlformats.org/officeDocument/2006/relationships/hyperlink" Target="https://www.youtube.com/watch?v=FrhgzDtA3QU" TargetMode="External"/><Relationship Id="rId85" Type="http://schemas.openxmlformats.org/officeDocument/2006/relationships/hyperlink" Target="https://www.youtube.com/watch?v=aQYKVWFZlNQ" TargetMode="External"/><Relationship Id="rId86" Type="http://schemas.openxmlformats.org/officeDocument/2006/relationships/hyperlink" Target="https://www.youtube.com/watch?v=mnS87bJbCKw" TargetMode="External"/><Relationship Id="rId87" Type="http://schemas.openxmlformats.org/officeDocument/2006/relationships/hyperlink" Target="https://www.youtube.com/watch?v=vM33JUDUUUM" TargetMode="External"/><Relationship Id="rId88" Type="http://schemas.openxmlformats.org/officeDocument/2006/relationships/hyperlink" Target="https://www.youtube.com/watch?v=jBbvY5EZ0Cc" TargetMode="External"/><Relationship Id="rId89" Type="http://schemas.openxmlformats.org/officeDocument/2006/relationships/hyperlink" Target="https://www.youtube.com/watch?v=T4dgvlJtq6k" TargetMode="External"/><Relationship Id="rId90" Type="http://schemas.openxmlformats.org/officeDocument/2006/relationships/hyperlink" Target="https://www.youtube.com/watch?v=vHetHAHaqAU" TargetMode="External"/><Relationship Id="rId91" Type="http://schemas.openxmlformats.org/officeDocument/2006/relationships/hyperlink" Target="https://www.youtube.com/watch?v=Jcei7RBpVqg" TargetMode="External"/><Relationship Id="rId92" Type="http://schemas.openxmlformats.org/officeDocument/2006/relationships/hyperlink" Target="https://www.youtube.com/watch?v=MmXmbvISn8E" TargetMode="External"/><Relationship Id="rId93" Type="http://schemas.openxmlformats.org/officeDocument/2006/relationships/hyperlink" Target="https://www.youtube.com/watch?v=IPcGWAnQJxw" TargetMode="External"/><Relationship Id="rId94" Type="http://schemas.openxmlformats.org/officeDocument/2006/relationships/hyperlink" Target="https://www.youtube.com/watch?v=VIkg2vLtVaU" TargetMode="External"/><Relationship Id="rId95" Type="http://schemas.openxmlformats.org/officeDocument/2006/relationships/hyperlink" Target="https://www.youtube.com/watch?v=Ibl9i-dhoIw" TargetMode="External"/><Relationship Id="rId96" Type="http://schemas.openxmlformats.org/officeDocument/2006/relationships/hyperlink" Target="https://www.youtube.com/watch?v=UbbyKptspmE" TargetMode="External"/><Relationship Id="rId97" Type="http://schemas.openxmlformats.org/officeDocument/2006/relationships/hyperlink" Target="https://www.youtube.com/watch?v=X--d21iqVcc" TargetMode="External"/><Relationship Id="rId98" Type="http://schemas.openxmlformats.org/officeDocument/2006/relationships/hyperlink" Target="https://www.youtube.com/watch?v=SrjCETJKxPc" TargetMode="External"/><Relationship Id="rId99" Type="http://schemas.openxmlformats.org/officeDocument/2006/relationships/hyperlink" Target="https://www.youtube.com/watch?v=JcKNDqwt-Vc" TargetMode="External"/><Relationship Id="rId100" Type="http://schemas.openxmlformats.org/officeDocument/2006/relationships/hyperlink" Target="https://www.youtube.com/watch?v=ckdvJ5g2nnw" TargetMode="External"/><Relationship Id="rId101" Type="http://schemas.openxmlformats.org/officeDocument/2006/relationships/hyperlink" Target="https://www.youtube.com/watch?v=lGeGrZYZUM0" TargetMode="External"/><Relationship Id="rId102" Type="http://schemas.openxmlformats.org/officeDocument/2006/relationships/hyperlink" Target="https://www.youtube.com/watch?v=zMvnodhsYmk" TargetMode="External"/><Relationship Id="rId103" Type="http://schemas.openxmlformats.org/officeDocument/2006/relationships/hyperlink" Target="https://www.youtube.com/watch?v=oKfQVbYtQUw" TargetMode="External"/><Relationship Id="rId104" Type="http://schemas.openxmlformats.org/officeDocument/2006/relationships/hyperlink" Target="https://www.youtube.com/watch?v=KjUx4Q8p2HA" TargetMode="External"/><Relationship Id="rId105" Type="http://schemas.openxmlformats.org/officeDocument/2006/relationships/hyperlink" Target="https://www.youtube.com/watch?v=4sekssArxv8" TargetMode="External"/><Relationship Id="rId106" Type="http://schemas.openxmlformats.org/officeDocument/2006/relationships/hyperlink" Target="https://www.youtube.com/watch?v=POMxssQGU3w" TargetMode="External"/><Relationship Id="rId107" Type="http://schemas.openxmlformats.org/officeDocument/2006/relationships/hyperlink" Target="https://www.youtube.com/watch?v=9rMyiZtFNyw" TargetMode="External"/><Relationship Id="rId108" Type="http://schemas.openxmlformats.org/officeDocument/2006/relationships/hyperlink" Target="https://www.youtube.com/watch?v=LlDIvz4atMY" TargetMode="External"/><Relationship Id="rId109" Type="http://schemas.openxmlformats.org/officeDocument/2006/relationships/hyperlink" Target="https://www.youtube.com/watch?v=hTqC-UWZ858" TargetMode="External"/><Relationship Id="rId110" Type="http://schemas.openxmlformats.org/officeDocument/2006/relationships/hyperlink" Target="https://www.youtube.com/watch?v=sB6j_1KwGew" TargetMode="External"/><Relationship Id="rId111" Type="http://schemas.openxmlformats.org/officeDocument/2006/relationships/hyperlink" Target="https://www.youtube.com/watch?v=4pry5VIYcBo" TargetMode="External"/><Relationship Id="rId112" Type="http://schemas.openxmlformats.org/officeDocument/2006/relationships/hyperlink" Target="https://www.youtube.com/watch?v=QlsFYAh46Vg" TargetMode="External"/><Relationship Id="rId113" Type="http://schemas.openxmlformats.org/officeDocument/2006/relationships/hyperlink" Target="https://www.youtube.com/watch?v=ZyX5gJOA2bA" TargetMode="External"/><Relationship Id="rId114" Type="http://schemas.openxmlformats.org/officeDocument/2006/relationships/hyperlink" Target="https://www.youtube.com/watch?v=WsPgzBVJcaI" TargetMode="External"/><Relationship Id="rId115" Type="http://schemas.openxmlformats.org/officeDocument/2006/relationships/hyperlink" Target="https://www.youtube.com/watch?v=JDH9zKGVBcY" TargetMode="External"/><Relationship Id="rId116" Type="http://schemas.openxmlformats.org/officeDocument/2006/relationships/hyperlink" Target="https://www.youtube.com/watch?v=5AjSuZgNNd4" TargetMode="External"/><Relationship Id="rId117" Type="http://schemas.openxmlformats.org/officeDocument/2006/relationships/hyperlink" Target="https://www.youtube.com/watch?v=_04X9pCuLGo" TargetMode="External"/><Relationship Id="rId118" Type="http://schemas.openxmlformats.org/officeDocument/2006/relationships/hyperlink" Target="https://www.youtube.com/watch?v=ZNhHcjv4zAI" TargetMode="External"/><Relationship Id="rId119" Type="http://schemas.openxmlformats.org/officeDocument/2006/relationships/hyperlink" Target="https://www.youtube.com/watch?v=fzu-BucFTTI" TargetMode="External"/><Relationship Id="rId120" Type="http://schemas.openxmlformats.org/officeDocument/2006/relationships/hyperlink" Target="https://www.youtube.com/watch?v=fmYkNegIxVU" TargetMode="External"/><Relationship Id="rId121" Type="http://schemas.openxmlformats.org/officeDocument/2006/relationships/hyperlink" Target="https://www.youtube.com/watch?v=U3rtA9J_9Po" TargetMode="External"/><Relationship Id="rId122" Type="http://schemas.openxmlformats.org/officeDocument/2006/relationships/hyperlink" Target="https://www.youtube.com/watch?v=vXa24tRYd54" TargetMode="External"/><Relationship Id="rId123" Type="http://schemas.openxmlformats.org/officeDocument/2006/relationships/hyperlink" Target="https://www.youtube.com/watch?v=pOtroRS61nU" TargetMode="External"/><Relationship Id="rId124" Type="http://schemas.openxmlformats.org/officeDocument/2006/relationships/hyperlink" Target="https://www.youtube.com/watch?v=zUu2eLxYyGk" TargetMode="External"/><Relationship Id="rId125" Type="http://schemas.openxmlformats.org/officeDocument/2006/relationships/hyperlink" Target="https://www.youtube.com/watch?v=MFj5EwLG-6E" TargetMode="External"/><Relationship Id="rId126" Type="http://schemas.openxmlformats.org/officeDocument/2006/relationships/hyperlink" Target="https://www.youtube.com/watch?v=qNT_JmKKO8s" TargetMode="External"/><Relationship Id="rId127" Type="http://schemas.openxmlformats.org/officeDocument/2006/relationships/hyperlink" Target="https://www.youtube.com/watch?v=84wwgsbdOis" TargetMode="External"/><Relationship Id="rId128" Type="http://schemas.openxmlformats.org/officeDocument/2006/relationships/hyperlink" Target="https://www.youtube.com/watch?v=sCoSy04WJis" TargetMode="External"/><Relationship Id="rId129" Type="http://schemas.openxmlformats.org/officeDocument/2006/relationships/hyperlink" Target="https://www.youtube.com/watch?v=uLLhOCr9qCI" TargetMode="External"/><Relationship Id="rId130" Type="http://schemas.openxmlformats.org/officeDocument/2006/relationships/hyperlink" Target="https://www.youtube.com/watch?v=wENDnI16bKs" TargetMode="External"/><Relationship Id="rId131" Type="http://schemas.openxmlformats.org/officeDocument/2006/relationships/hyperlink" Target="https://www.youtube.com/watch?v=1YuPytLDTU4" TargetMode="External"/><Relationship Id="rId132" Type="http://schemas.openxmlformats.org/officeDocument/2006/relationships/hyperlink" Target="https://www.youtube.com/watch?v=Hje-prdojOc" TargetMode="External"/><Relationship Id="rId133" Type="http://schemas.openxmlformats.org/officeDocument/2006/relationships/hyperlink" Target="https://www.youtube.com/watch?v=anb_qSrQQjE" TargetMode="External"/><Relationship Id="rId134" Type="http://schemas.openxmlformats.org/officeDocument/2006/relationships/hyperlink" Target="https://www.youtube.com/watch?v=uiaP_Y-ZzcE" TargetMode="External"/><Relationship Id="rId135" Type="http://schemas.openxmlformats.org/officeDocument/2006/relationships/hyperlink" Target="https://www.youtube.com/watch?v=oiMv9IC5tZ8" TargetMode="External"/><Relationship Id="rId136" Type="http://schemas.openxmlformats.org/officeDocument/2006/relationships/hyperlink" Target="https://www.youtube.com/watch?v=uhOuR2TfZx0" TargetMode="External"/><Relationship Id="rId137" Type="http://schemas.openxmlformats.org/officeDocument/2006/relationships/hyperlink" Target="https://www.youtube.com/watch?v=mQUvNcxBhqc" TargetMode="External"/><Relationship Id="rId138" Type="http://schemas.openxmlformats.org/officeDocument/2006/relationships/hyperlink" Target="https://www.youtube.com/watch?v=J4G0uKRJoi8" TargetMode="External"/><Relationship Id="rId139" Type="http://schemas.openxmlformats.org/officeDocument/2006/relationships/hyperlink" Target="https://www.youtube.com/watch?v=g5ldltsfzt4" TargetMode="External"/><Relationship Id="rId140" Type="http://schemas.openxmlformats.org/officeDocument/2006/relationships/hyperlink" Target="https://www.youtube.com/watch?v=rhL2DcjtYyA" TargetMode="External"/><Relationship Id="rId141" Type="http://schemas.openxmlformats.org/officeDocument/2006/relationships/hyperlink" Target="https://www.youtube.com/watch?v=JROYrH1b2qw" TargetMode="External"/><Relationship Id="rId142" Type="http://schemas.openxmlformats.org/officeDocument/2006/relationships/hyperlink" Target="https://www.youtube.com/watch?v=i70Te_i0Hf4" TargetMode="External"/><Relationship Id="rId143" Type="http://schemas.openxmlformats.org/officeDocument/2006/relationships/hyperlink" Target="https://www.youtube.com/watch?v=flUWKmeAShA" TargetMode="External"/><Relationship Id="rId144" Type="http://schemas.openxmlformats.org/officeDocument/2006/relationships/hyperlink" Target="https://www.youtube.com/watch?v=rETYCKA6Ay4" TargetMode="External"/><Relationship Id="rId145" Type="http://schemas.openxmlformats.org/officeDocument/2006/relationships/hyperlink" Target="https://www.youtube.com/watch?v=VG7kNIjOym0" TargetMode="External"/><Relationship Id="rId146" Type="http://schemas.openxmlformats.org/officeDocument/2006/relationships/hyperlink" Target="https://www.youtube.com/watch?v=yrDGepjFQjs" TargetMode="External"/><Relationship Id="rId147" Type="http://schemas.openxmlformats.org/officeDocument/2006/relationships/hyperlink" Target="https://www.youtube.com/watch?v=srSMADVxKps" TargetMode="External"/><Relationship Id="rId148" Type="http://schemas.openxmlformats.org/officeDocument/2006/relationships/hyperlink" Target="https://www.youtube.com/watch?v=Y2HMa_KRQXg" TargetMode="External"/><Relationship Id="rId149" Type="http://schemas.openxmlformats.org/officeDocument/2006/relationships/hyperlink" Target="https://www.youtube.com/watch?v=UXehJSYS-sA" TargetMode="External"/><Relationship Id="rId150" Type="http://schemas.openxmlformats.org/officeDocument/2006/relationships/hyperlink" Target="https://www.youtube.com/watch?v=dcTZxF6iohw" TargetMode="External"/><Relationship Id="rId151" Type="http://schemas.openxmlformats.org/officeDocument/2006/relationships/hyperlink" Target="https://www.youtube.com/watch?v=ouej4wcDS3c" TargetMode="External"/><Relationship Id="rId152" Type="http://schemas.openxmlformats.org/officeDocument/2006/relationships/hyperlink" Target="https://www.youtube.com/watch?v=EBsoh09a4k4" TargetMode="External"/><Relationship Id="rId153" Type="http://schemas.openxmlformats.org/officeDocument/2006/relationships/hyperlink" Target="https://www.youtube.com/watch?v=m6tfPJqIOoM" TargetMode="External"/><Relationship Id="rId154" Type="http://schemas.openxmlformats.org/officeDocument/2006/relationships/hyperlink" Target="https://www.youtube.com/watch?v=AlKUMvdiav0" TargetMode="External"/><Relationship Id="rId155" Type="http://schemas.openxmlformats.org/officeDocument/2006/relationships/hyperlink" Target="https://www.youtube.com/watch?v=GpjdCsVCsBw" TargetMode="External"/><Relationship Id="rId156" Type="http://schemas.openxmlformats.org/officeDocument/2006/relationships/hyperlink" Target="https://www.youtube.com/watch?v=xVaF7NSCGn8" TargetMode="External"/><Relationship Id="rId157" Type="http://schemas.openxmlformats.org/officeDocument/2006/relationships/hyperlink" Target="https://www.youtube.com/watch?v=viqfOjyrsn4" TargetMode="External"/><Relationship Id="rId158" Type="http://schemas.openxmlformats.org/officeDocument/2006/relationships/hyperlink" Target="https://www.youtube.com/watch?v=dwjfTc3SBqQ" TargetMode="External"/><Relationship Id="rId159" Type="http://schemas.openxmlformats.org/officeDocument/2006/relationships/hyperlink" Target="https://www.youtube.com/watch?v=tVIvU1cJsNw" TargetMode="External"/><Relationship Id="rId160" Type="http://schemas.openxmlformats.org/officeDocument/2006/relationships/hyperlink" Target="https://www.youtube.com/watch?v=f2MdgTS7RGc" TargetMode="External"/><Relationship Id="rId161" Type="http://schemas.openxmlformats.org/officeDocument/2006/relationships/hyperlink" Target="https://www.youtube.com/watch?v=1rRbBLf5acM" TargetMode="External"/><Relationship Id="rId162" Type="http://schemas.openxmlformats.org/officeDocument/2006/relationships/hyperlink" Target="https://www.youtube.com/watch?v=EGjWtskb5N4" TargetMode="External"/><Relationship Id="rId163" Type="http://schemas.openxmlformats.org/officeDocument/2006/relationships/hyperlink" Target="https://www.youtube.com/watch?v=Ui5qCT1-lec" TargetMode="External"/><Relationship Id="rId164" Type="http://schemas.openxmlformats.org/officeDocument/2006/relationships/hyperlink" Target="https://www.youtube.com/watch?v=U1LrdLu9gTQ" TargetMode="External"/><Relationship Id="rId165" Type="http://schemas.openxmlformats.org/officeDocument/2006/relationships/hyperlink" Target="https://www.youtube.com/watch?v=2Es00BMNF8A" TargetMode="External"/><Relationship Id="rId166" Type="http://schemas.openxmlformats.org/officeDocument/2006/relationships/hyperlink" Target="https://www.youtube.com/watch?v=6GZhpCim9C8" TargetMode="External"/><Relationship Id="rId167" Type="http://schemas.openxmlformats.org/officeDocument/2006/relationships/hyperlink" Target="https://www.youtube.com/watch?v=ng-xl0wowhA" TargetMode="External"/><Relationship Id="rId168" Type="http://schemas.openxmlformats.org/officeDocument/2006/relationships/hyperlink" Target="https://www.youtube.com/watch?v=U4yZyaWbP34" TargetMode="External"/><Relationship Id="rId169" Type="http://schemas.openxmlformats.org/officeDocument/2006/relationships/hyperlink" Target="https://www.youtube.com/watch?v=A4TnHAFVMwg" TargetMode="External"/><Relationship Id="rId170" Type="http://schemas.openxmlformats.org/officeDocument/2006/relationships/hyperlink" Target="https://www.youtube.com/watch?v=_yoaoMfjrX8" TargetMode="External"/><Relationship Id="rId171" Type="http://schemas.openxmlformats.org/officeDocument/2006/relationships/hyperlink" Target="https://www.youtube.com/watch?v=IwtpdG4u96c" TargetMode="External"/><Relationship Id="rId172" Type="http://schemas.openxmlformats.org/officeDocument/2006/relationships/hyperlink" Target="https://www.youtube.com/watch?v=oIs4EubPRjs" TargetMode="External"/><Relationship Id="rId173" Type="http://schemas.openxmlformats.org/officeDocument/2006/relationships/hyperlink" Target="https://www.youtube.com/watch?v=2aRmxNJGjI4" TargetMode="External"/><Relationship Id="rId174" Type="http://schemas.openxmlformats.org/officeDocument/2006/relationships/hyperlink" Target="https://www.youtube.com/watch?v=MH7vtWRWqx0" TargetMode="External"/><Relationship Id="rId175" Type="http://schemas.openxmlformats.org/officeDocument/2006/relationships/hyperlink" Target="https://www.youtube.com/watch?v=OR6O3CnR03Y" TargetMode="External"/><Relationship Id="rId176" Type="http://schemas.openxmlformats.org/officeDocument/2006/relationships/hyperlink" Target="https://www.youtube.com/watch?v=PpwQCEi2j9w" TargetMode="External"/><Relationship Id="rId177" Type="http://schemas.openxmlformats.org/officeDocument/2006/relationships/hyperlink" Target="https://www.youtube.com/watch?v=Wb4fnAXthyU" TargetMode="External"/><Relationship Id="rId178" Type="http://schemas.openxmlformats.org/officeDocument/2006/relationships/hyperlink" Target="https://www.youtube.com/watch?v=e0azwJ3qqMc" TargetMode="External"/><Relationship Id="rId179" Type="http://schemas.openxmlformats.org/officeDocument/2006/relationships/hyperlink" Target="https://www.youtube.com/watch?v=j7rLnaZjJuY" TargetMode="External"/><Relationship Id="rId180" Type="http://schemas.openxmlformats.org/officeDocument/2006/relationships/hyperlink" Target="https://www.youtube.com/watch?v=1j2qgcjwJDU" TargetMode="External"/><Relationship Id="rId181" Type="http://schemas.openxmlformats.org/officeDocument/2006/relationships/hyperlink" Target="https://www.youtube.com/watch?v=qzRVRiHKrk4" TargetMode="External"/><Relationship Id="rId182" Type="http://schemas.openxmlformats.org/officeDocument/2006/relationships/hyperlink" Target="https://www.youtube.com/watch?v=fwscV-EXWJM" TargetMode="External"/><Relationship Id="rId183" Type="http://schemas.openxmlformats.org/officeDocument/2006/relationships/hyperlink" Target="https://www.youtube.com/watch?v=Qrh5_XB9z-w" TargetMode="External"/><Relationship Id="rId184" Type="http://schemas.openxmlformats.org/officeDocument/2006/relationships/hyperlink" Target="https://www.youtube.com/watch?v=EDuCkK9HVqk" TargetMode="External"/><Relationship Id="rId185" Type="http://schemas.openxmlformats.org/officeDocument/2006/relationships/hyperlink" Target="https://www.youtube.com/watch?v=beojPRT7nhc" TargetMode="External"/><Relationship Id="rId186" Type="http://schemas.openxmlformats.org/officeDocument/2006/relationships/hyperlink" Target="https://www.youtube.com/watch?v=uP1NABmhwsw" TargetMode="External"/><Relationship Id="rId187" Type="http://schemas.openxmlformats.org/officeDocument/2006/relationships/hyperlink" Target="https://www.youtube.com/watch?v=YHazYCmGPiU" TargetMode="External"/><Relationship Id="rId188" Type="http://schemas.openxmlformats.org/officeDocument/2006/relationships/hyperlink" Target="https://www.youtube.com/watch?v=r8ost3qHwPA" TargetMode="External"/><Relationship Id="rId189" Type="http://schemas.openxmlformats.org/officeDocument/2006/relationships/hyperlink" Target="https://www.youtube.com/watch?v=qv-kruU-2uo" TargetMode="External"/><Relationship Id="rId190" Type="http://schemas.openxmlformats.org/officeDocument/2006/relationships/hyperlink" Target="https://www.youtube.com/watch?v=5MaEfZbA8I0" TargetMode="External"/><Relationship Id="rId191" Type="http://schemas.openxmlformats.org/officeDocument/2006/relationships/hyperlink" Target="https://www.youtube.com/watch?v=uQQut8TKzJM" TargetMode="External"/><Relationship Id="rId192" Type="http://schemas.openxmlformats.org/officeDocument/2006/relationships/hyperlink" Target="https://www.youtube.com/watch?v=ZG8LnifzZME" TargetMode="External"/><Relationship Id="rId193" Type="http://schemas.openxmlformats.org/officeDocument/2006/relationships/hyperlink" Target="https://www.youtube.com/watch?v=CpCxBmpQdjM" TargetMode="External"/><Relationship Id="rId194" Type="http://schemas.openxmlformats.org/officeDocument/2006/relationships/hyperlink" Target="https://www.youtube.com/watch?v=gZMekG0GA4g" TargetMode="External"/><Relationship Id="rId195" Type="http://schemas.openxmlformats.org/officeDocument/2006/relationships/hyperlink" Target="https://www.youtube.com/watch?v=9ra55hD5WA4" TargetMode="External"/><Relationship Id="rId196" Type="http://schemas.openxmlformats.org/officeDocument/2006/relationships/hyperlink" Target="https://www.youtube.com/watch?v=ywb5BmVQIpY" TargetMode="External"/><Relationship Id="rId197" Type="http://schemas.openxmlformats.org/officeDocument/2006/relationships/hyperlink" Target="https://www.youtube.com/watch?v=76yTqCS4udg" TargetMode="External"/><Relationship Id="rId198" Type="http://schemas.openxmlformats.org/officeDocument/2006/relationships/hyperlink" Target="https://www.youtube.com/watch?v=W3Mf3PZE3Kg" TargetMode="External"/><Relationship Id="rId199" Type="http://schemas.openxmlformats.org/officeDocument/2006/relationships/hyperlink" Target="https://www.youtube.com/watch?v=hvTuN-UmN_I" TargetMode="External"/><Relationship Id="rId200" Type="http://schemas.openxmlformats.org/officeDocument/2006/relationships/hyperlink" Target="https://www.youtube.com/watch?v=PdndBpMUs0M" TargetMode="External"/><Relationship Id="rId201" Type="http://schemas.openxmlformats.org/officeDocument/2006/relationships/hyperlink" Target="https://www.youtube.com/watch?v=cK63kJTVXPw" TargetMode="External"/><Relationship Id="rId202" Type="http://schemas.openxmlformats.org/officeDocument/2006/relationships/hyperlink" Target="https://www.youtube.com/watch?v=pAMJqQk0GU8" TargetMode="External"/><Relationship Id="rId203" Type="http://schemas.openxmlformats.org/officeDocument/2006/relationships/hyperlink" Target="https://www.youtube.com/watch?v=c6WbU2w6k9o" TargetMode="External"/><Relationship Id="rId204" Type="http://schemas.openxmlformats.org/officeDocument/2006/relationships/hyperlink" Target="https://www.youtube.com/watch?v=c0bBEiRnDeA" TargetMode="External"/><Relationship Id="rId205" Type="http://schemas.openxmlformats.org/officeDocument/2006/relationships/hyperlink" Target="https://www.youtube.com/watch?v=a7jZfubl-9A" TargetMode="External"/><Relationship Id="rId206" Type="http://schemas.openxmlformats.org/officeDocument/2006/relationships/hyperlink" Target="https://www.youtube.com/watch?v=wYDGmtAZX4A" TargetMode="External"/><Relationship Id="rId207" Type="http://schemas.openxmlformats.org/officeDocument/2006/relationships/hyperlink" Target="https://www.youtube.com/watch?v=WjQ_IE4i6zc" TargetMode="External"/><Relationship Id="rId208" Type="http://schemas.openxmlformats.org/officeDocument/2006/relationships/hyperlink" Target="https://www.youtube.com/watch?v=zxYWCgVliYM" TargetMode="External"/><Relationship Id="rId209" Type="http://schemas.openxmlformats.org/officeDocument/2006/relationships/hyperlink" Target="https://www.youtube.com/watch?v=UO9aCa42AHE" TargetMode="External"/><Relationship Id="rId210" Type="http://schemas.openxmlformats.org/officeDocument/2006/relationships/hyperlink" Target="https://www.youtube.com/watch?v=2GhI0JcBv-g" TargetMode="External"/><Relationship Id="rId211" Type="http://schemas.openxmlformats.org/officeDocument/2006/relationships/hyperlink" Target="https://www.youtube.com/watch?v=gabo8V4vtsY" TargetMode="External"/><Relationship Id="rId212" Type="http://schemas.openxmlformats.org/officeDocument/2006/relationships/hyperlink" Target="https://www.youtube.com/watch?v=r9xlfM7VHxY" TargetMode="External"/><Relationship Id="rId213" Type="http://schemas.openxmlformats.org/officeDocument/2006/relationships/hyperlink" Target="https://www.youtube.com/watch?v=fmH4GemeaH8" TargetMode="External"/><Relationship Id="rId214" Type="http://schemas.openxmlformats.org/officeDocument/2006/relationships/hyperlink" Target="https://www.youtube.com/watch?v=JxjsBIddB9w" TargetMode="External"/><Relationship Id="rId215" Type="http://schemas.openxmlformats.org/officeDocument/2006/relationships/hyperlink" Target="https://www.youtube.com/watch?v=4IfwblGdRDc" TargetMode="External"/><Relationship Id="rId216" Type="http://schemas.openxmlformats.org/officeDocument/2006/relationships/hyperlink" Target="https://www.youtube.com/watch?v=1cjFMzl9no0" TargetMode="External"/><Relationship Id="rId217" Type="http://schemas.openxmlformats.org/officeDocument/2006/relationships/hyperlink" Target="https://www.youtube.com/watch?v=W7T6nsbB9cQ" TargetMode="External"/><Relationship Id="rId218" Type="http://schemas.openxmlformats.org/officeDocument/2006/relationships/hyperlink" Target="https://www.youtube.com/watch?v=gBHRbffGkas" TargetMode="External"/><Relationship Id="rId219" Type="http://schemas.openxmlformats.org/officeDocument/2006/relationships/hyperlink" Target="https://www.youtube.com/watch?v=Dx5bq_L9UYQ" TargetMode="External"/><Relationship Id="rId220" Type="http://schemas.openxmlformats.org/officeDocument/2006/relationships/hyperlink" Target="https://www.youtube.com/watch?v=E7Rs_Jl5grs" TargetMode="External"/><Relationship Id="rId221" Type="http://schemas.openxmlformats.org/officeDocument/2006/relationships/hyperlink" Target="https://www.youtube.com/watch?v=BDLkzgnvyaI" TargetMode="External"/><Relationship Id="rId222" Type="http://schemas.openxmlformats.org/officeDocument/2006/relationships/hyperlink" Target="https://www.youtube.com/watch?v=f0uMYhlty1I" TargetMode="External"/><Relationship Id="rId223" Type="http://schemas.openxmlformats.org/officeDocument/2006/relationships/hyperlink" Target="https://www.youtube.com/watch?v=ji26JaUEOsE" TargetMode="External"/><Relationship Id="rId224" Type="http://schemas.openxmlformats.org/officeDocument/2006/relationships/hyperlink" Target="https://www.youtube.com/watch?v=zDmaCuTWPG8" TargetMode="External"/><Relationship Id="rId225" Type="http://schemas.openxmlformats.org/officeDocument/2006/relationships/hyperlink" Target="https://www.youtube.com/watch?v=hQK6fnfpnto" TargetMode="External"/><Relationship Id="rId226" Type="http://schemas.openxmlformats.org/officeDocument/2006/relationships/hyperlink" Target="https://www.youtube.com/watch?v=ly7Fe7C-MrA" TargetMode="External"/><Relationship Id="rId227" Type="http://schemas.openxmlformats.org/officeDocument/2006/relationships/hyperlink" Target="https://www.youtube.com/watch?v=c51WdskyUxc" TargetMode="External"/><Relationship Id="rId228" Type="http://schemas.openxmlformats.org/officeDocument/2006/relationships/hyperlink" Target="https://www.youtube.com/watch?v=RZOnRObY0XE" TargetMode="External"/><Relationship Id="rId229" Type="http://schemas.openxmlformats.org/officeDocument/2006/relationships/hyperlink" Target="https://www.youtube.com/watch?v=v3ExGWhLchI" TargetMode="External"/><Relationship Id="rId230" Type="http://schemas.openxmlformats.org/officeDocument/2006/relationships/hyperlink" Target="https://www.youtube.com/watch?v=27mNNo5lPbg" TargetMode="External"/><Relationship Id="rId231" Type="http://schemas.openxmlformats.org/officeDocument/2006/relationships/hyperlink" Target="https://www.youtube.com/watch?v=Re8PMVvdXxY" TargetMode="External"/><Relationship Id="rId232" Type="http://schemas.openxmlformats.org/officeDocument/2006/relationships/hyperlink" Target="https://www.youtube.com/watch?v=pQUJGhBemaY" TargetMode="External"/><Relationship Id="rId233" Type="http://schemas.openxmlformats.org/officeDocument/2006/relationships/hyperlink" Target="https://www.youtube.com/watch?v=NR0uKT_p5vo" TargetMode="External"/><Relationship Id="rId234" Type="http://schemas.openxmlformats.org/officeDocument/2006/relationships/hyperlink" Target="https://www.youtube.com/watch?v=Gz7_HmY9Bd8" TargetMode="External"/><Relationship Id="rId235" Type="http://schemas.openxmlformats.org/officeDocument/2006/relationships/hyperlink" Target="https://www.youtube.com/watch?v=3goCEO3IKao" TargetMode="External"/><Relationship Id="rId236" Type="http://schemas.openxmlformats.org/officeDocument/2006/relationships/hyperlink" Target="https://www.youtube.com/watch?v=CaNvOmOiyys" TargetMode="External"/><Relationship Id="rId237" Type="http://schemas.openxmlformats.org/officeDocument/2006/relationships/hyperlink" Target="https://www.youtube.com/watch?v=MOarvXu3-Ck" TargetMode="External"/><Relationship Id="rId238" Type="http://schemas.openxmlformats.org/officeDocument/2006/relationships/hyperlink" Target="https://www.youtube.com/watch?v=ZwInE9oNjps" TargetMode="External"/><Relationship Id="rId239" Type="http://schemas.openxmlformats.org/officeDocument/2006/relationships/hyperlink" Target="https://www.youtube.com/watch?v=cpMg4ywOXsI" TargetMode="External"/><Relationship Id="rId240" Type="http://schemas.openxmlformats.org/officeDocument/2006/relationships/hyperlink" Target="https://www.youtube.com/watch?v=ln-8TpKO5Yw" TargetMode="External"/><Relationship Id="rId241" Type="http://schemas.openxmlformats.org/officeDocument/2006/relationships/hyperlink" Target="https://www.youtube.com/watch?v=brj0TtkJ75E" TargetMode="External"/><Relationship Id="rId242" Type="http://schemas.openxmlformats.org/officeDocument/2006/relationships/hyperlink" Target="https://www.youtube.com/watch?v=zOAdYNi9caY" TargetMode="External"/><Relationship Id="rId243" Type="http://schemas.openxmlformats.org/officeDocument/2006/relationships/hyperlink" Target="https://www.youtube.com/watch?v=b-ezTmctZak" TargetMode="External"/><Relationship Id="rId244" Type="http://schemas.openxmlformats.org/officeDocument/2006/relationships/hyperlink" Target="https://www.youtube.com/watch?v=kmgo1byysio" TargetMode="External"/><Relationship Id="rId245" Type="http://schemas.openxmlformats.org/officeDocument/2006/relationships/hyperlink" Target="https://www.youtube.com/watch?v=ID0T3bgeTNM" TargetMode="External"/><Relationship Id="rId246" Type="http://schemas.openxmlformats.org/officeDocument/2006/relationships/hyperlink" Target="https://www.youtube.com/watch?v=c_3HFVu9SsE" TargetMode="External"/><Relationship Id="rId247" Type="http://schemas.openxmlformats.org/officeDocument/2006/relationships/hyperlink" Target="https://www.youtube.com/watch?v=Xxwm_76RAKg" TargetMode="External"/><Relationship Id="rId248" Type="http://schemas.openxmlformats.org/officeDocument/2006/relationships/hyperlink" Target="https://www.youtube.com/watch?v=Bf4xQ-nAOe4" TargetMode="External"/><Relationship Id="rId249" Type="http://schemas.openxmlformats.org/officeDocument/2006/relationships/hyperlink" Target="https://www.youtube.com/watch?v=PvpUD5bgjOI" TargetMode="External"/><Relationship Id="rId250" Type="http://schemas.openxmlformats.org/officeDocument/2006/relationships/hyperlink" Target="https://www.youtube.com/watch?v=Yr4wDH_aE5c" TargetMode="External"/><Relationship Id="rId251" Type="http://schemas.openxmlformats.org/officeDocument/2006/relationships/hyperlink" Target="https://www.youtube.com/watch?v=6GykLs6y6jw" TargetMode="External"/><Relationship Id="rId252" Type="http://schemas.openxmlformats.org/officeDocument/2006/relationships/hyperlink" Target="https://www.youtube.com/watch?v=ymzVO-qfH1Q" TargetMode="External"/><Relationship Id="rId253" Type="http://schemas.openxmlformats.org/officeDocument/2006/relationships/hyperlink" Target="https://www.youtube.com/watch?v=xQL-trHJ7tg" TargetMode="External"/><Relationship Id="rId254" Type="http://schemas.openxmlformats.org/officeDocument/2006/relationships/hyperlink" Target="https://www.youtube.com/watch?v=pJcyMxQbe6U" TargetMode="External"/><Relationship Id="rId255" Type="http://schemas.openxmlformats.org/officeDocument/2006/relationships/hyperlink" Target="https://www.youtube.com/watch?v=c08UfajYa6w" TargetMode="External"/><Relationship Id="rId256" Type="http://schemas.openxmlformats.org/officeDocument/2006/relationships/hyperlink" Target="https://www.youtube.com/watch?v=kIwwL5d23d4" TargetMode="External"/><Relationship Id="rId257" Type="http://schemas.openxmlformats.org/officeDocument/2006/relationships/hyperlink" Target="https://www.youtube.com/watch?v=taE02zwQsbY" TargetMode="External"/><Relationship Id="rId258" Type="http://schemas.openxmlformats.org/officeDocument/2006/relationships/hyperlink" Target="https://www.youtube.com/watch?v=jTzU_xCDCu8" TargetMode="External"/><Relationship Id="rId259" Type="http://schemas.openxmlformats.org/officeDocument/2006/relationships/hyperlink" Target="https://www.youtube.com/watch?v=NkgtG0A2Ulw" TargetMode="External"/><Relationship Id="rId260" Type="http://schemas.openxmlformats.org/officeDocument/2006/relationships/hyperlink" Target="https://www.youtube.com/watch?v=Sp8qEeJ-6SI" TargetMode="External"/><Relationship Id="rId261" Type="http://schemas.openxmlformats.org/officeDocument/2006/relationships/hyperlink" Target="https://www.youtube.com/watch?v=bU6O5QAj9aQ" TargetMode="External"/><Relationship Id="rId262" Type="http://schemas.openxmlformats.org/officeDocument/2006/relationships/hyperlink" Target="https://www.youtube.com/watch?v=JTVlc6ZHERk" TargetMode="External"/><Relationship Id="rId263" Type="http://schemas.openxmlformats.org/officeDocument/2006/relationships/hyperlink" Target="https://www.youtube.com/watch?v=IdoqYgrLfko" TargetMode="External"/><Relationship Id="rId264" Type="http://schemas.openxmlformats.org/officeDocument/2006/relationships/hyperlink" Target="https://www.youtube.com/watch?v=fO5ErlbFFKg" TargetMode="External"/><Relationship Id="rId265" Type="http://schemas.openxmlformats.org/officeDocument/2006/relationships/hyperlink" Target="https://www.youtube.com/watch?v=63k9-DXYJCI" TargetMode="External"/><Relationship Id="rId266" Type="http://schemas.openxmlformats.org/officeDocument/2006/relationships/hyperlink" Target="https://www.youtube.com/watch?v=_muFkFxXZv0" TargetMode="External"/><Relationship Id="rId267" Type="http://schemas.openxmlformats.org/officeDocument/2006/relationships/hyperlink" Target="https://www.youtube.com/watch?v=KnsjldoMwnU" TargetMode="External"/><Relationship Id="rId268" Type="http://schemas.openxmlformats.org/officeDocument/2006/relationships/hyperlink" Target="https://www.youtube.com/watch?v=HJFwn43dx6g" TargetMode="External"/><Relationship Id="rId269" Type="http://schemas.openxmlformats.org/officeDocument/2006/relationships/hyperlink" Target="https://www.youtube.com/watch?v=crUr3jS6ihw" TargetMode="External"/><Relationship Id="rId270" Type="http://schemas.openxmlformats.org/officeDocument/2006/relationships/hyperlink" Target="https://www.youtube.com/watch?v=2j2qS_-dfv0" TargetMode="External"/><Relationship Id="rId271" Type="http://schemas.openxmlformats.org/officeDocument/2006/relationships/hyperlink" Target="https://www.youtube.com/watch?v=FVEyUkkKGEk" TargetMode="External"/><Relationship Id="rId272" Type="http://schemas.openxmlformats.org/officeDocument/2006/relationships/hyperlink" Target="https://www.youtube.com/watch?v=YYaEcmp-BcM" TargetMode="External"/><Relationship Id="rId273" Type="http://schemas.openxmlformats.org/officeDocument/2006/relationships/hyperlink" Target="https://www.youtube.com/watch?v=egUF5SS90Go" TargetMode="External"/><Relationship Id="rId274" Type="http://schemas.openxmlformats.org/officeDocument/2006/relationships/hyperlink" Target="https://www.youtube.com/watch?v=gUEe_peRoyc" TargetMode="External"/><Relationship Id="rId275" Type="http://schemas.openxmlformats.org/officeDocument/2006/relationships/hyperlink" Target="https://www.youtube.com/watch?v=E03Hc04QgYg" TargetMode="External"/><Relationship Id="rId276" Type="http://schemas.openxmlformats.org/officeDocument/2006/relationships/hyperlink" Target="https://www.youtube.com/watch?v=3UdtWFTuq70" TargetMode="External"/><Relationship Id="rId277" Type="http://schemas.openxmlformats.org/officeDocument/2006/relationships/hyperlink" Target="https://www.youtube.com/watch?v=Y_9XDgcWPlU" TargetMode="External"/><Relationship Id="rId278" Type="http://schemas.openxmlformats.org/officeDocument/2006/relationships/hyperlink" Target="https://www.youtube.com/watch?v=WrTYDjgavMs" TargetMode="External"/><Relationship Id="rId279" Type="http://schemas.openxmlformats.org/officeDocument/2006/relationships/hyperlink" Target="https://www.youtube.com/watch?v=qr6FbmxeWMo" TargetMode="External"/><Relationship Id="rId280" Type="http://schemas.openxmlformats.org/officeDocument/2006/relationships/hyperlink" Target="https://www.youtube.com/watch?v=rS1HfZY2-co" TargetMode="External"/><Relationship Id="rId281" Type="http://schemas.openxmlformats.org/officeDocument/2006/relationships/hyperlink" Target="https://www.youtube.com/watch?v=Y_6qGvjITR8" TargetMode="External"/><Relationship Id="rId282" Type="http://schemas.openxmlformats.org/officeDocument/2006/relationships/hyperlink" Target="https://www.youtube.com/watch?v=ulUENtD0c1k" TargetMode="External"/><Relationship Id="rId283" Type="http://schemas.openxmlformats.org/officeDocument/2006/relationships/hyperlink" Target="https://www.youtube.com/watch?v=UgeqcLWJMFA" TargetMode="External"/><Relationship Id="rId284" Type="http://schemas.openxmlformats.org/officeDocument/2006/relationships/hyperlink" Target="https://www.youtube.com/watch?v=u9XkQmBWaxw" TargetMode="External"/><Relationship Id="rId285" Type="http://schemas.openxmlformats.org/officeDocument/2006/relationships/hyperlink" Target="https://www.youtube.com/watch?v=OJGEI-OgdBo" TargetMode="External"/><Relationship Id="rId286" Type="http://schemas.openxmlformats.org/officeDocument/2006/relationships/hyperlink" Target="https://www.youtube.com/watch?v=3DofK-q37x4" TargetMode="External"/><Relationship Id="rId287" Type="http://schemas.openxmlformats.org/officeDocument/2006/relationships/hyperlink" Target="https://www.youtube.com/watch?v=Q7GTxJk3EB8" TargetMode="External"/><Relationship Id="rId288" Type="http://schemas.openxmlformats.org/officeDocument/2006/relationships/hyperlink" Target="https://www.youtube.com/watch?v=C0Mo8REVrJU" TargetMode="External"/><Relationship Id="rId289" Type="http://schemas.openxmlformats.org/officeDocument/2006/relationships/hyperlink" Target="https://www.youtube.com/watch?v=oC5dD_ash-0" TargetMode="External"/><Relationship Id="rId290" Type="http://schemas.openxmlformats.org/officeDocument/2006/relationships/hyperlink" Target="https://www.youtube.com/watch?v=FpDl_wCVnBQ" TargetMode="External"/><Relationship Id="rId291" Type="http://schemas.openxmlformats.org/officeDocument/2006/relationships/hyperlink" Target="https://www.youtube.com/watch?v=cv7V9BfOtr4" TargetMode="External"/><Relationship Id="rId292" Type="http://schemas.openxmlformats.org/officeDocument/2006/relationships/hyperlink" Target="https://www.youtube.com/watch?v=ht3Pyze8SW4" TargetMode="External"/><Relationship Id="rId293" Type="http://schemas.openxmlformats.org/officeDocument/2006/relationships/hyperlink" Target="https://www.youtube.com/watch?v=1jIBKI5LkX4" TargetMode="External"/><Relationship Id="rId294" Type="http://schemas.openxmlformats.org/officeDocument/2006/relationships/hyperlink" Target="https://www.youtube.com/watch?v=ngNf6sSV2AM" TargetMode="External"/><Relationship Id="rId295" Type="http://schemas.openxmlformats.org/officeDocument/2006/relationships/hyperlink" Target="https://www.youtube.com/watch?v=VwoB3WGlJC0" TargetMode="External"/><Relationship Id="rId296" Type="http://schemas.openxmlformats.org/officeDocument/2006/relationships/hyperlink" Target="https://www.youtube.com/watch?v=Dt35TPrOrb0" TargetMode="External"/><Relationship Id="rId297" Type="http://schemas.openxmlformats.org/officeDocument/2006/relationships/hyperlink" Target="https://www.youtube.com/watch?v=HjDeRug1TT4" TargetMode="External"/><Relationship Id="rId298" Type="http://schemas.openxmlformats.org/officeDocument/2006/relationships/hyperlink" Target="https://www.youtube.com/watch?v=rHkrzq2pr-8" TargetMode="External"/><Relationship Id="rId299" Type="http://schemas.openxmlformats.org/officeDocument/2006/relationships/hyperlink" Target="https://www.youtube.com/watch?v=Yqt4B0gRtXg" TargetMode="External"/><Relationship Id="rId300" Type="http://schemas.openxmlformats.org/officeDocument/2006/relationships/hyperlink" Target="https://www.youtube.com/watch?v=oaq9-1NGIxI" TargetMode="External"/><Relationship Id="rId301" Type="http://schemas.openxmlformats.org/officeDocument/2006/relationships/hyperlink" Target="https://www.youtube.com/watch?v=YSOSb-GIaAI" TargetMode="External"/><Relationship Id="rId302" Type="http://schemas.openxmlformats.org/officeDocument/2006/relationships/hyperlink" Target="https://www.youtube.com/watch?v=CSh57mdmp8M" TargetMode="External"/><Relationship Id="rId303" Type="http://schemas.openxmlformats.org/officeDocument/2006/relationships/hyperlink" Target="https://www.youtube.com/watch?v=Ud4n3w9Lmmw" TargetMode="External"/><Relationship Id="rId304" Type="http://schemas.openxmlformats.org/officeDocument/2006/relationships/hyperlink" Target="https://www.youtube.com/watch?v=GEjfEaQDo30" TargetMode="External"/><Relationship Id="rId305" Type="http://schemas.openxmlformats.org/officeDocument/2006/relationships/hyperlink" Target="https://www.youtube.com/watch?v=NeekIMOVfqk" TargetMode="External"/><Relationship Id="rId306" Type="http://schemas.openxmlformats.org/officeDocument/2006/relationships/hyperlink" Target="https://www.youtube.com/watch?v=GgxRAJ4K1ww" TargetMode="External"/><Relationship Id="rId307" Type="http://schemas.openxmlformats.org/officeDocument/2006/relationships/hyperlink" Target="https://www.youtube.com/watch?v=Oii8uQbtZ5c" TargetMode="External"/><Relationship Id="rId308" Type="http://schemas.openxmlformats.org/officeDocument/2006/relationships/hyperlink" Target="https://www.youtube.com/watch?v=GdH9UFW8GMI" TargetMode="External"/><Relationship Id="rId309" Type="http://schemas.openxmlformats.org/officeDocument/2006/relationships/hyperlink" Target="https://www.youtube.com/watch?v=KSBVVHUo6dE" TargetMode="External"/><Relationship Id="rId310" Type="http://schemas.openxmlformats.org/officeDocument/2006/relationships/hyperlink" Target="https://www.youtube.com/watch?v=D1P-mhsdOAU" TargetMode="External"/><Relationship Id="rId311" Type="http://schemas.openxmlformats.org/officeDocument/2006/relationships/hyperlink" Target="https://www.youtube.com/watch?v=71IWKAo36ws" TargetMode="External"/><Relationship Id="rId312" Type="http://schemas.openxmlformats.org/officeDocument/2006/relationships/hyperlink" Target="https://www.youtube.com/watch?v=XfcZzqSOdV8" TargetMode="External"/><Relationship Id="rId313" Type="http://schemas.openxmlformats.org/officeDocument/2006/relationships/hyperlink" Target="https://www.youtube.com/watch?v=QM6m4bDJqY8" TargetMode="External"/><Relationship Id="rId314" Type="http://schemas.openxmlformats.org/officeDocument/2006/relationships/hyperlink" Target="https://www.youtube.com/watch?v=NrZD5abwCNc" TargetMode="External"/><Relationship Id="rId315" Type="http://schemas.openxmlformats.org/officeDocument/2006/relationships/hyperlink" Target="https://www.youtube.com/watch?v=E3Oluksc-uo" TargetMode="External"/><Relationship Id="rId316" Type="http://schemas.openxmlformats.org/officeDocument/2006/relationships/hyperlink" Target="https://www.youtube.com/watch?v=CKHFCHec1Wk" TargetMode="External"/><Relationship Id="rId317" Type="http://schemas.openxmlformats.org/officeDocument/2006/relationships/hyperlink" Target="https://www.youtube.com/watch?v=tsraxGMllWs" TargetMode="External"/><Relationship Id="rId318" Type="http://schemas.openxmlformats.org/officeDocument/2006/relationships/hyperlink" Target="https://www.youtube.com/watch?v=UyvkRA8LiL4" TargetMode="External"/><Relationship Id="rId319" Type="http://schemas.openxmlformats.org/officeDocument/2006/relationships/hyperlink" Target="https://www.youtube.com/watch?v=vnqbqFUV7Dw" TargetMode="External"/><Relationship Id="rId320" Type="http://schemas.openxmlformats.org/officeDocument/2006/relationships/hyperlink" Target="https://www.youtube.com/watch?v=lZX5cyyHmOM" TargetMode="External"/><Relationship Id="rId321" Type="http://schemas.openxmlformats.org/officeDocument/2006/relationships/hyperlink" Target="https://www.youtube.com/watch?v=Rx4MpQygJ9s" TargetMode="External"/><Relationship Id="rId322" Type="http://schemas.openxmlformats.org/officeDocument/2006/relationships/hyperlink" Target="https://www.youtube.com/watch?v=yQYSwXn_MxI" TargetMode="External"/><Relationship Id="rId323" Type="http://schemas.openxmlformats.org/officeDocument/2006/relationships/hyperlink" Target="https://www.youtube.com/watch?v=cznJD4brmvY" TargetMode="External"/><Relationship Id="rId324" Type="http://schemas.openxmlformats.org/officeDocument/2006/relationships/hyperlink" Target="https://www.youtube.com/watch?v=6eVuM2q59A0" TargetMode="External"/><Relationship Id="rId325" Type="http://schemas.openxmlformats.org/officeDocument/2006/relationships/hyperlink" Target="https://www.youtube.com/watch?v=m5l3E7WZpzA" TargetMode="External"/><Relationship Id="rId326" Type="http://schemas.openxmlformats.org/officeDocument/2006/relationships/hyperlink" Target="https://www.youtube.com/watch?v=8TdEVuDF-tw" TargetMode="External"/><Relationship Id="rId327" Type="http://schemas.openxmlformats.org/officeDocument/2006/relationships/hyperlink" Target="https://www.youtube.com/watch?v=vuc_wk4Ij70" TargetMode="External"/><Relationship Id="rId328" Type="http://schemas.openxmlformats.org/officeDocument/2006/relationships/hyperlink" Target="https://www.youtube.com/watch?v=y1JrxnSa8OU" TargetMode="External"/><Relationship Id="rId329" Type="http://schemas.openxmlformats.org/officeDocument/2006/relationships/hyperlink" Target="https://www.youtube.com/watch?v=2Lgltia6Egk" TargetMode="External"/><Relationship Id="rId330" Type="http://schemas.openxmlformats.org/officeDocument/2006/relationships/hyperlink" Target="https://www.youtube.com/watch?v=T7VhmJVIFtE" TargetMode="External"/><Relationship Id="rId331" Type="http://schemas.openxmlformats.org/officeDocument/2006/relationships/hyperlink" Target="https://www.youtube.com/watch?v=po9GdQjkJi8" TargetMode="External"/><Relationship Id="rId332" Type="http://schemas.openxmlformats.org/officeDocument/2006/relationships/hyperlink" Target="https://www.youtube.com/watch?v=d4E3ZA2xfDs" TargetMode="External"/><Relationship Id="rId333" Type="http://schemas.openxmlformats.org/officeDocument/2006/relationships/hyperlink" Target="https://www.youtube.com/watch?v=-xVe7tIJvc8" TargetMode="External"/><Relationship Id="rId334" Type="http://schemas.openxmlformats.org/officeDocument/2006/relationships/hyperlink" Target="https://www.youtube.com/watch?v=8phB0_sW0QU" TargetMode="External"/><Relationship Id="rId335" Type="http://schemas.openxmlformats.org/officeDocument/2006/relationships/hyperlink" Target="https://www.youtube.com/watch?v=pPRCXyeh8hA" TargetMode="External"/><Relationship Id="rId336" Type="http://schemas.openxmlformats.org/officeDocument/2006/relationships/hyperlink" Target="https://www.youtube.com/watch?v=0nEsI3vPrNI" TargetMode="External"/><Relationship Id="rId337" Type="http://schemas.openxmlformats.org/officeDocument/2006/relationships/hyperlink" Target="https://www.youtube.com/watch?v=sDav4TFPOYY" TargetMode="External"/><Relationship Id="rId338" Type="http://schemas.openxmlformats.org/officeDocument/2006/relationships/hyperlink" Target="https://www.youtube.com/watch?v=qm9KYL6vM1I" TargetMode="External"/><Relationship Id="rId339" Type="http://schemas.openxmlformats.org/officeDocument/2006/relationships/hyperlink" Target="https://www.youtube.com/watch?v=VpO-OSf8hfU" TargetMode="External"/><Relationship Id="rId340" Type="http://schemas.openxmlformats.org/officeDocument/2006/relationships/hyperlink" Target="https://www.youtube.com/watch?v=wrpp0gU5o5o" TargetMode="External"/><Relationship Id="rId341" Type="http://schemas.openxmlformats.org/officeDocument/2006/relationships/hyperlink" Target="https://www.youtube.com/watch?v=7IvKQipUEKo" TargetMode="External"/><Relationship Id="rId342" Type="http://schemas.openxmlformats.org/officeDocument/2006/relationships/hyperlink" Target="https://www.youtube.com/watch?v=Rva_rDpRQHE" TargetMode="External"/><Relationship Id="rId343" Type="http://schemas.openxmlformats.org/officeDocument/2006/relationships/hyperlink" Target="https://www.youtube.com/watch?v=CcuR1ylQ3Lo" TargetMode="External"/><Relationship Id="rId344" Type="http://schemas.openxmlformats.org/officeDocument/2006/relationships/hyperlink" Target="https://www.youtube.com/watch?v=8PqiQ9nNq78" TargetMode="External"/><Relationship Id="rId345" Type="http://schemas.openxmlformats.org/officeDocument/2006/relationships/hyperlink" Target="https://www.youtube.com/watch?v=4DfGjH7vOgo" TargetMode="External"/><Relationship Id="rId346" Type="http://schemas.openxmlformats.org/officeDocument/2006/relationships/hyperlink" Target="https://www.youtube.com/watch?v=daAQxQJy9Mk" TargetMode="External"/><Relationship Id="rId347" Type="http://schemas.openxmlformats.org/officeDocument/2006/relationships/hyperlink" Target="https://www.youtube.com/watch?v=n7hE8_AyFbI" TargetMode="External"/><Relationship Id="rId348" Type="http://schemas.openxmlformats.org/officeDocument/2006/relationships/hyperlink" Target="https://www.youtube.com/watch?v=hNyppOEiT2w" TargetMode="External"/><Relationship Id="rId349" Type="http://schemas.openxmlformats.org/officeDocument/2006/relationships/hyperlink" Target="https://www.youtube.com/watch?v=yq3uZH4oeqs" TargetMode="External"/><Relationship Id="rId350" Type="http://schemas.openxmlformats.org/officeDocument/2006/relationships/hyperlink" Target="https://www.youtube.com/watch?v=9hRwlTPN2wI" TargetMode="External"/><Relationship Id="rId351" Type="http://schemas.openxmlformats.org/officeDocument/2006/relationships/hyperlink" Target="https://www.youtube.com/watch?v=VjGjjVymWaU" TargetMode="External"/><Relationship Id="rId352" Type="http://schemas.openxmlformats.org/officeDocument/2006/relationships/hyperlink" Target="https://www.youtube.com/watch?v=SYyxB-xnYGI" TargetMode="External"/><Relationship Id="rId353" Type="http://schemas.openxmlformats.org/officeDocument/2006/relationships/hyperlink" Target="https://www.youtube.com/watch?v=ydRH8DhhBuw" TargetMode="External"/><Relationship Id="rId354" Type="http://schemas.openxmlformats.org/officeDocument/2006/relationships/hyperlink" Target="https://www.youtube.com/watch?v=wzh-Sx861SE" TargetMode="External"/><Relationship Id="rId355" Type="http://schemas.openxmlformats.org/officeDocument/2006/relationships/hyperlink" Target="https://www.youtube.com/watch?v=9zERYwQ3F3A" TargetMode="External"/><Relationship Id="rId356" Type="http://schemas.openxmlformats.org/officeDocument/2006/relationships/hyperlink" Target="https://www.youtube.com/watch?v=NbvNqF383g4" TargetMode="External"/><Relationship Id="rId357" Type="http://schemas.openxmlformats.org/officeDocument/2006/relationships/hyperlink" Target="https://www.youtube.com/watch?v=3Nnuqq8lVDA" TargetMode="External"/><Relationship Id="rId358" Type="http://schemas.openxmlformats.org/officeDocument/2006/relationships/hyperlink" Target="https://www.youtube.com/watch?v=lBT63ztt6a8" TargetMode="External"/><Relationship Id="rId359" Type="http://schemas.openxmlformats.org/officeDocument/2006/relationships/hyperlink" Target="https://www.youtube.com/watch?v=ThWXpE6hpuk" TargetMode="External"/><Relationship Id="rId360" Type="http://schemas.openxmlformats.org/officeDocument/2006/relationships/hyperlink" Target="https://www.youtube.com/watch?v=tyDKO26-gi8" TargetMode="External"/><Relationship Id="rId361" Type="http://schemas.openxmlformats.org/officeDocument/2006/relationships/hyperlink" Target="https://www.youtube.com/watch?v=YMogz5QSaBg" TargetMode="External"/><Relationship Id="rId362" Type="http://schemas.openxmlformats.org/officeDocument/2006/relationships/hyperlink" Target="https://www.youtube.com/watch?v=kvhJLr4hyaE" TargetMode="External"/><Relationship Id="rId363" Type="http://schemas.openxmlformats.org/officeDocument/2006/relationships/hyperlink" Target="https://www.youtube.com/watch?v=4viJ7ANXylk" TargetMode="External"/><Relationship Id="rId364" Type="http://schemas.openxmlformats.org/officeDocument/2006/relationships/hyperlink" Target="https://www.youtube.com/watch?v=t0_oJ7FshqI" TargetMode="External"/><Relationship Id="rId365" Type="http://schemas.openxmlformats.org/officeDocument/2006/relationships/hyperlink" Target="https://www.youtube.com/watch?v=-ayqcbvmA0A" TargetMode="External"/><Relationship Id="rId366" Type="http://schemas.openxmlformats.org/officeDocument/2006/relationships/hyperlink" Target="https://www.youtube.com/watch?v=xVtsZMnL7xY" TargetMode="External"/><Relationship Id="rId367" Type="http://schemas.openxmlformats.org/officeDocument/2006/relationships/hyperlink" Target="https://www.youtube.com/watch?v=yGbquRpQ200" TargetMode="External"/><Relationship Id="rId368" Type="http://schemas.openxmlformats.org/officeDocument/2006/relationships/hyperlink" Target="https://www.youtube.com/watch?v=Su3l0OMA4JE" TargetMode="External"/><Relationship Id="rId369" Type="http://schemas.openxmlformats.org/officeDocument/2006/relationships/hyperlink" Target="https://www.youtube.com/watch?v=sDMw3uCBhUg" TargetMode="External"/><Relationship Id="rId370" Type="http://schemas.openxmlformats.org/officeDocument/2006/relationships/hyperlink" Target="https://www.youtube.com/watch?v=ef-xhEHLfkY" TargetMode="External"/><Relationship Id="rId371" Type="http://schemas.openxmlformats.org/officeDocument/2006/relationships/hyperlink" Target="https://www.youtube.com/watch?v=3brMyiiSs9o" TargetMode="External"/><Relationship Id="rId372" Type="http://schemas.openxmlformats.org/officeDocument/2006/relationships/hyperlink" Target="https://www.youtube.com/watch?v=HsEUVpW7QUo" TargetMode="External"/><Relationship Id="rId373" Type="http://schemas.openxmlformats.org/officeDocument/2006/relationships/hyperlink" Target="https://www.youtube.com/watch?v=l3OR1K3ECoc" TargetMode="External"/><Relationship Id="rId374" Type="http://schemas.openxmlformats.org/officeDocument/2006/relationships/hyperlink" Target="https://www.youtube.com/watch?v=aPpJG_nUgJg" TargetMode="External"/><Relationship Id="rId375" Type="http://schemas.openxmlformats.org/officeDocument/2006/relationships/hyperlink" Target="https://www.youtube.com/watch?v=eMfyJwbkgYw" TargetMode="External"/><Relationship Id="rId376" Type="http://schemas.openxmlformats.org/officeDocument/2006/relationships/hyperlink" Target="https://www.youtube.com/watch?v=N1D5jSwC40M" TargetMode="External"/><Relationship Id="rId377" Type="http://schemas.openxmlformats.org/officeDocument/2006/relationships/hyperlink" Target="https://www.youtube.com/watch?v=0S8GL7-yNxk" TargetMode="External"/><Relationship Id="rId378" Type="http://schemas.openxmlformats.org/officeDocument/2006/relationships/hyperlink" Target="https://www.youtube.com/watch?v=icLU7DAsur4" TargetMode="External"/><Relationship Id="rId379" Type="http://schemas.openxmlformats.org/officeDocument/2006/relationships/hyperlink" Target="https://www.youtube.com/watch?v=Hi7vOmknvC8" TargetMode="External"/><Relationship Id="rId380" Type="http://schemas.openxmlformats.org/officeDocument/2006/relationships/hyperlink" Target="https://www.youtube.com/watch?v=63f1gaqAn2k" TargetMode="External"/><Relationship Id="rId381" Type="http://schemas.openxmlformats.org/officeDocument/2006/relationships/hyperlink" Target="https://www.youtube.com/watch?v=UuBLPc9ZIdo" TargetMode="External"/><Relationship Id="rId382" Type="http://schemas.openxmlformats.org/officeDocument/2006/relationships/hyperlink" Target="https://www.youtube.com/watch?v=s86STKTEZ3s" TargetMode="External"/><Relationship Id="rId383" Type="http://schemas.openxmlformats.org/officeDocument/2006/relationships/hyperlink" Target="https://www.youtube.com/watch?v=lXJBvn_kr3c" TargetMode="External"/><Relationship Id="rId384" Type="http://schemas.openxmlformats.org/officeDocument/2006/relationships/hyperlink" Target="https://www.youtube.com/watch?v=zrfUdZioZN0" TargetMode="External"/><Relationship Id="rId385" Type="http://schemas.openxmlformats.org/officeDocument/2006/relationships/hyperlink" Target="https://www.youtube.com/watch?v=kiQ29RXG6Vo" TargetMode="External"/><Relationship Id="rId386" Type="http://schemas.openxmlformats.org/officeDocument/2006/relationships/hyperlink" Target="https://www.youtube.com/watch?v=cwPVMIgVvwQ" TargetMode="External"/><Relationship Id="rId387" Type="http://schemas.openxmlformats.org/officeDocument/2006/relationships/hyperlink" Target="https://www.youtube.com/watch?v=kkAM9bnL5gk" TargetMode="External"/><Relationship Id="rId388" Type="http://schemas.openxmlformats.org/officeDocument/2006/relationships/hyperlink" Target="https://www.youtube.com/watch?v=_oPDRQcj9TU" TargetMode="External"/><Relationship Id="rId389" Type="http://schemas.openxmlformats.org/officeDocument/2006/relationships/hyperlink" Target="https://www.youtube.com/watch?v=4xqOdQUMXKQ" TargetMode="External"/><Relationship Id="rId390" Type="http://schemas.openxmlformats.org/officeDocument/2006/relationships/hyperlink" Target="https://www.youtube.com/watch?v=HJ6JDsQpbg4" TargetMode="External"/><Relationship Id="rId391" Type="http://schemas.openxmlformats.org/officeDocument/2006/relationships/hyperlink" Target="https://www.youtube.com/watch?v=bEdCLkEf6ug" TargetMode="External"/><Relationship Id="rId392" Type="http://schemas.openxmlformats.org/officeDocument/2006/relationships/hyperlink" Target="https://www.youtube.com/watch?v=f-JpMM5ZGy4" TargetMode="External"/><Relationship Id="rId393" Type="http://schemas.openxmlformats.org/officeDocument/2006/relationships/hyperlink" Target="https://www.youtube.com/watch?v=PS24S_IYb-Q" TargetMode="External"/><Relationship Id="rId394" Type="http://schemas.openxmlformats.org/officeDocument/2006/relationships/hyperlink" Target="https://www.youtube.com/watch?v=AoLmIicicfw" TargetMode="External"/><Relationship Id="rId395" Type="http://schemas.openxmlformats.org/officeDocument/2006/relationships/hyperlink" Target="https://www.youtube.com/watch?v=gpw3BcdH0aA" TargetMode="External"/><Relationship Id="rId396" Type="http://schemas.openxmlformats.org/officeDocument/2006/relationships/hyperlink" Target="https://www.youtube.com/watch?v=p8E2ZMuJClc" TargetMode="External"/><Relationship Id="rId397" Type="http://schemas.openxmlformats.org/officeDocument/2006/relationships/hyperlink" Target="https://www.youtube.com/watch?v=pz4nzYYTzZ8" TargetMode="External"/><Relationship Id="rId398" Type="http://schemas.openxmlformats.org/officeDocument/2006/relationships/hyperlink" Target="https://www.youtube.com/watch?v=BymURksoSdI" TargetMode="External"/><Relationship Id="rId399" Type="http://schemas.openxmlformats.org/officeDocument/2006/relationships/hyperlink" Target="https://www.youtube.com/watch?v=mE1ZT7xdgco" TargetMode="External"/><Relationship Id="rId400" Type="http://schemas.openxmlformats.org/officeDocument/2006/relationships/hyperlink" Target="https://www.youtube.com/watch?v=iG2ll97QsDU" TargetMode="External"/><Relationship Id="rId401" Type="http://schemas.openxmlformats.org/officeDocument/2006/relationships/hyperlink" Target="https://www.youtube.com/watch?v=qSUgSGkbOPc" TargetMode="External"/><Relationship Id="rId402" Type="http://schemas.openxmlformats.org/officeDocument/2006/relationships/hyperlink" Target="https://www.youtube.com/watch?v=bKI5ByFwAlM" TargetMode="External"/><Relationship Id="rId403" Type="http://schemas.openxmlformats.org/officeDocument/2006/relationships/hyperlink" Target="https://www.youtube.com/watch?v=EvksPDS8MJs" TargetMode="External"/><Relationship Id="rId404" Type="http://schemas.openxmlformats.org/officeDocument/2006/relationships/hyperlink" Target="https://www.youtube.com/watch?v=VLYLbv0KgbQ" TargetMode="External"/><Relationship Id="rId405" Type="http://schemas.openxmlformats.org/officeDocument/2006/relationships/hyperlink" Target="https://www.youtube.com/watch?v=FhlLVm2IV_0" TargetMode="External"/><Relationship Id="rId406" Type="http://schemas.openxmlformats.org/officeDocument/2006/relationships/hyperlink" Target="https://www.youtube.com/watch?v=2VPQjUvzn4A" TargetMode="External"/><Relationship Id="rId407" Type="http://schemas.openxmlformats.org/officeDocument/2006/relationships/hyperlink" Target="https://www.youtube.com/watch?v=q9pDvdrbqhk" TargetMode="External"/><Relationship Id="rId408" Type="http://schemas.openxmlformats.org/officeDocument/2006/relationships/hyperlink" Target="https://www.youtube.com/watch?v=EXiiTMOGmE4" TargetMode="External"/><Relationship Id="rId409" Type="http://schemas.openxmlformats.org/officeDocument/2006/relationships/hyperlink" Target="https://www.youtube.com/watch?v=Um_6dyI7yaQ" TargetMode="External"/><Relationship Id="rId410" Type="http://schemas.openxmlformats.org/officeDocument/2006/relationships/hyperlink" Target="https://www.youtube.com/watch?v=bw3uotgwtM8" TargetMode="External"/><Relationship Id="rId411" Type="http://schemas.openxmlformats.org/officeDocument/2006/relationships/hyperlink" Target="https://www.youtube.com/watch?v=goqxOiWSQ3E" TargetMode="External"/><Relationship Id="rId412" Type="http://schemas.openxmlformats.org/officeDocument/2006/relationships/hyperlink" Target="https://www.youtube.com/watch?v=M98x10YLfBQ" TargetMode="External"/><Relationship Id="rId413" Type="http://schemas.openxmlformats.org/officeDocument/2006/relationships/hyperlink" Target="https://www.youtube.com/watch?v=l7oYN_Uw9oQ" TargetMode="External"/><Relationship Id="rId414" Type="http://schemas.openxmlformats.org/officeDocument/2006/relationships/hyperlink" Target="https://www.youtube.com/watch?v=JNnW0pyy7V0" TargetMode="External"/><Relationship Id="rId415" Type="http://schemas.openxmlformats.org/officeDocument/2006/relationships/hyperlink" Target="https://www.youtube.com/watch?v=OkLSI6V9Dos" TargetMode="External"/><Relationship Id="rId416" Type="http://schemas.openxmlformats.org/officeDocument/2006/relationships/hyperlink" Target="https://www.youtube.com/watch?v=xyT3RfN0P0Q" TargetMode="External"/><Relationship Id="rId417" Type="http://schemas.openxmlformats.org/officeDocument/2006/relationships/hyperlink" Target="https://www.youtube.com/watch?v=yMn5A4VAFOk" TargetMode="External"/><Relationship Id="rId418" Type="http://schemas.openxmlformats.org/officeDocument/2006/relationships/hyperlink" Target="https://www.youtube.com/watch?v=r0Z0xWWyRko" TargetMode="External"/><Relationship Id="rId419" Type="http://schemas.openxmlformats.org/officeDocument/2006/relationships/hyperlink" Target="https://www.youtube.com/watch?v=VTg0T3eqq-0" TargetMode="External"/><Relationship Id="rId420" Type="http://schemas.openxmlformats.org/officeDocument/2006/relationships/hyperlink" Target="https://www.youtube.com/watch?v=xuF35qD7RRs" TargetMode="External"/><Relationship Id="rId421" Type="http://schemas.openxmlformats.org/officeDocument/2006/relationships/hyperlink" Target="https://www.youtube.com/watch?v=uZ5KlDqek7A" TargetMode="External"/><Relationship Id="rId422" Type="http://schemas.openxmlformats.org/officeDocument/2006/relationships/hyperlink" Target="https://www.youtube.com/watch?v=vtN3kpwAnhw" TargetMode="External"/><Relationship Id="rId423" Type="http://schemas.openxmlformats.org/officeDocument/2006/relationships/hyperlink" Target="https://www.youtube.com/watch?v=RJouOEE_6Uc" TargetMode="External"/><Relationship Id="rId424" Type="http://schemas.openxmlformats.org/officeDocument/2006/relationships/hyperlink" Target="https://www.youtube.com/watch?v=2JrhVyC_SmI" TargetMode="External"/><Relationship Id="rId425" Type="http://schemas.openxmlformats.org/officeDocument/2006/relationships/hyperlink" Target="https://www.youtube.com/watch?v=UjRL7gevUCk" TargetMode="External"/><Relationship Id="rId426" Type="http://schemas.openxmlformats.org/officeDocument/2006/relationships/hyperlink" Target="https://www.youtube.com/watch?v=mphgMDksP10" TargetMode="External"/><Relationship Id="rId427" Type="http://schemas.openxmlformats.org/officeDocument/2006/relationships/hyperlink" Target="https://www.youtube.com/watch?v=TzG7_jpYVwI" TargetMode="External"/><Relationship Id="rId428" Type="http://schemas.openxmlformats.org/officeDocument/2006/relationships/hyperlink" Target="https://www.youtube.com/watch?v=b-ObkCB0F2Y" TargetMode="External"/><Relationship Id="rId429" Type="http://schemas.openxmlformats.org/officeDocument/2006/relationships/hyperlink" Target="https://www.youtube.com/watch?v=fGd-GwbDnMs" TargetMode="External"/><Relationship Id="rId430" Type="http://schemas.openxmlformats.org/officeDocument/2006/relationships/hyperlink" Target="https://www.youtube.com/watch?v=su0P69I2T-o" TargetMode="External"/><Relationship Id="rId431" Type="http://schemas.openxmlformats.org/officeDocument/2006/relationships/hyperlink" Target="https://www.youtube.com/watch?v=P93G0P0xbgg" TargetMode="External"/><Relationship Id="rId432" Type="http://schemas.openxmlformats.org/officeDocument/2006/relationships/hyperlink" Target="https://www.youtube.com/watch?v=5Ta4wvgpNE8" TargetMode="External"/><Relationship Id="rId433" Type="http://schemas.openxmlformats.org/officeDocument/2006/relationships/hyperlink" Target="https://www.youtube.com/watch?v=kO4l-STnJ9k" TargetMode="External"/><Relationship Id="rId434" Type="http://schemas.openxmlformats.org/officeDocument/2006/relationships/hyperlink" Target="https://www.youtube.com/watch?v=oAGTUOwevOA" TargetMode="External"/><Relationship Id="rId435" Type="http://schemas.openxmlformats.org/officeDocument/2006/relationships/hyperlink" Target="https://www.youtube.com/watch?v=PtaUae_l7b0" TargetMode="External"/><Relationship Id="rId436" Type="http://schemas.openxmlformats.org/officeDocument/2006/relationships/hyperlink" Target="https://www.youtube.com/watch?v=xYnmi3G46do" TargetMode="External"/><Relationship Id="rId437" Type="http://schemas.openxmlformats.org/officeDocument/2006/relationships/hyperlink" Target="https://www.youtube.com/watch?v=L5ZkTF0AdCg" TargetMode="External"/><Relationship Id="rId438" Type="http://schemas.openxmlformats.org/officeDocument/2006/relationships/hyperlink" Target="https://www.youtube.com/watch?v=O79kJtny6CA" TargetMode="External"/><Relationship Id="rId439" Type="http://schemas.openxmlformats.org/officeDocument/2006/relationships/hyperlink" Target="https://www.youtube.com/watch?v=RiQuHISN40M" TargetMode="External"/><Relationship Id="rId440" Type="http://schemas.openxmlformats.org/officeDocument/2006/relationships/hyperlink" Target="https://www.youtube.com/watch?v=caIEQWqiWSo" TargetMode="External"/><Relationship Id="rId441" Type="http://schemas.openxmlformats.org/officeDocument/2006/relationships/hyperlink" Target="https://www.youtube.com/watch?v=B07EURl_qb0" TargetMode="External"/><Relationship Id="rId442" Type="http://schemas.openxmlformats.org/officeDocument/2006/relationships/hyperlink" Target="https://www.youtube.com/watch?v=3APY6TJ-QTI" TargetMode="External"/><Relationship Id="rId443" Type="http://schemas.openxmlformats.org/officeDocument/2006/relationships/hyperlink" Target="https://www.youtube.com/watch?v=ScUVNT9rFuk" TargetMode="External"/><Relationship Id="rId444" Type="http://schemas.openxmlformats.org/officeDocument/2006/relationships/hyperlink" Target="https://www.youtube.com/watch?v=ju7bbFpgob4" TargetMode="External"/><Relationship Id="rId445" Type="http://schemas.openxmlformats.org/officeDocument/2006/relationships/hyperlink" Target="https://www.youtube.com/watch?v=s3GyZl9Qvn0" TargetMode="External"/><Relationship Id="rId446" Type="http://schemas.openxmlformats.org/officeDocument/2006/relationships/hyperlink" Target="https://www.youtube.com/watch?v=9mGLs25ax88" TargetMode="External"/><Relationship Id="rId447" Type="http://schemas.openxmlformats.org/officeDocument/2006/relationships/hyperlink" Target="https://www.youtube.com/watch?v=GmV4sdkGqVY" TargetMode="External"/><Relationship Id="rId448" Type="http://schemas.openxmlformats.org/officeDocument/2006/relationships/hyperlink" Target="https://www.youtube.com/watch?v=HZtINsc3ne0" TargetMode="External"/><Relationship Id="rId449" Type="http://schemas.openxmlformats.org/officeDocument/2006/relationships/hyperlink" Target="https://www.youtube.com/watch?v=jwdz_0lAn9o" TargetMode="External"/><Relationship Id="rId450" Type="http://schemas.openxmlformats.org/officeDocument/2006/relationships/hyperlink" Target="https://www.youtube.com/watch?v=ANth1WQe2No" TargetMode="External"/><Relationship Id="rId451" Type="http://schemas.openxmlformats.org/officeDocument/2006/relationships/hyperlink" Target="https://www.youtube.com/watch?v=zCtX9b7WcSM" TargetMode="External"/><Relationship Id="rId452" Type="http://schemas.openxmlformats.org/officeDocument/2006/relationships/hyperlink" Target="https://www.youtube.com/watch?v=l4uxhDOHn_g" TargetMode="External"/><Relationship Id="rId453" Type="http://schemas.openxmlformats.org/officeDocument/2006/relationships/hyperlink" Target="https://www.youtube.com/watch?v=KVZS7h0CHBc" TargetMode="External"/><Relationship Id="rId454" Type="http://schemas.openxmlformats.org/officeDocument/2006/relationships/hyperlink" Target="https://www.youtube.com/watch?v=o0tT35Vd8Zo" TargetMode="External"/><Relationship Id="rId455" Type="http://schemas.openxmlformats.org/officeDocument/2006/relationships/hyperlink" Target="https://www.youtube.com/watch?v=AoltUQWMf8o" TargetMode="External"/><Relationship Id="rId456" Type="http://schemas.openxmlformats.org/officeDocument/2006/relationships/hyperlink" Target="https://www.youtube.com/watch?v=6SUkVOGXEBk" TargetMode="External"/><Relationship Id="rId457" Type="http://schemas.openxmlformats.org/officeDocument/2006/relationships/hyperlink" Target="https://www.youtube.com/watch?v=K1BmJCwb3QQ" TargetMode="External"/><Relationship Id="rId458" Type="http://schemas.openxmlformats.org/officeDocument/2006/relationships/hyperlink" Target="https://www.youtube.com/watch?v=OzMjWPFtDN4" TargetMode="External"/><Relationship Id="rId459" Type="http://schemas.openxmlformats.org/officeDocument/2006/relationships/hyperlink" Target="https://www.youtube.com/watch?v=PxL73jp6LBI" TargetMode="External"/><Relationship Id="rId460" Type="http://schemas.openxmlformats.org/officeDocument/2006/relationships/hyperlink" Target="https://www.youtube.com/watch?v=na8Neg40aCw" TargetMode="External"/><Relationship Id="rId461" Type="http://schemas.openxmlformats.org/officeDocument/2006/relationships/hyperlink" Target="https://www.youtube.com/watch?v=kcQ2dNFGh44" TargetMode="External"/><Relationship Id="rId462" Type="http://schemas.openxmlformats.org/officeDocument/2006/relationships/hyperlink" Target="https://www.youtube.com/watch?v=cPEDrDls_lU" TargetMode="External"/><Relationship Id="rId463" Type="http://schemas.openxmlformats.org/officeDocument/2006/relationships/hyperlink" Target="https://www.youtube.com/watch?v=_4ubiFw5N64" TargetMode="External"/><Relationship Id="rId464" Type="http://schemas.openxmlformats.org/officeDocument/2006/relationships/hyperlink" Target="https://www.youtube.com/watch?v=wyT3JkW8HtY" TargetMode="External"/><Relationship Id="rId465" Type="http://schemas.openxmlformats.org/officeDocument/2006/relationships/hyperlink" Target="https://www.youtube.com/watch?v=LkZyCQE4744" TargetMode="External"/><Relationship Id="rId466" Type="http://schemas.openxmlformats.org/officeDocument/2006/relationships/hyperlink" Target="https://www.youtube.com/watch?v=BqJEq3-kvhY" TargetMode="External"/><Relationship Id="rId467" Type="http://schemas.openxmlformats.org/officeDocument/2006/relationships/hyperlink" Target="https://www.youtube.com/watch?v=78pCsGJ4Ajw" TargetMode="External"/><Relationship Id="rId468" Type="http://schemas.openxmlformats.org/officeDocument/2006/relationships/hyperlink" Target="https://www.youtube.com/watch?v=OWRp7BotMpE" TargetMode="External"/><Relationship Id="rId469" Type="http://schemas.openxmlformats.org/officeDocument/2006/relationships/hyperlink" Target="https://www.youtube.com/watch?v=u4OsO6KqzEg" TargetMode="External"/><Relationship Id="rId470" Type="http://schemas.openxmlformats.org/officeDocument/2006/relationships/hyperlink" Target="https://www.youtube.com/watch?v=2sfyBBzO5t8" TargetMode="External"/><Relationship Id="rId471" Type="http://schemas.openxmlformats.org/officeDocument/2006/relationships/hyperlink" Target="https://www.youtube.com/watch?v=hLGlPmULuhQ" TargetMode="External"/><Relationship Id="rId472" Type="http://schemas.openxmlformats.org/officeDocument/2006/relationships/hyperlink" Target="https://www.youtube.com/watch?v=gF-EtLZundw" TargetMode="External"/><Relationship Id="rId473" Type="http://schemas.openxmlformats.org/officeDocument/2006/relationships/hyperlink" Target="https://www.youtube.com/watch?v=kc0_tXr25Nw" TargetMode="External"/><Relationship Id="rId474" Type="http://schemas.openxmlformats.org/officeDocument/2006/relationships/hyperlink" Target="https://www.youtube.com/watch?v=XD12rHxxbXk" TargetMode="External"/><Relationship Id="rId475" Type="http://schemas.openxmlformats.org/officeDocument/2006/relationships/hyperlink" Target="https://www.youtube.com/watch?v=ojhybvYpBhY" TargetMode="External"/><Relationship Id="rId476" Type="http://schemas.openxmlformats.org/officeDocument/2006/relationships/hyperlink" Target="https://www.youtube.com/watch?v=jf_8fVa0CRQ" TargetMode="External"/><Relationship Id="rId477" Type="http://schemas.openxmlformats.org/officeDocument/2006/relationships/hyperlink" Target="https://www.youtube.com/watch?v=f6R05iXzFVg" TargetMode="External"/><Relationship Id="rId478" Type="http://schemas.openxmlformats.org/officeDocument/2006/relationships/hyperlink" Target="https://www.youtube.com/watch?v=IT1se6sN5tg" TargetMode="External"/><Relationship Id="rId479" Type="http://schemas.openxmlformats.org/officeDocument/2006/relationships/hyperlink" Target="https://www.youtube.com/watch?v=WbmQpd1l3T0" TargetMode="External"/><Relationship Id="rId480" Type="http://schemas.openxmlformats.org/officeDocument/2006/relationships/hyperlink" Target="https://www.youtube.com/watch?v=nK_DePZYZAc" TargetMode="External"/><Relationship Id="rId481" Type="http://schemas.openxmlformats.org/officeDocument/2006/relationships/hyperlink" Target="https://www.youtube.com/watch?v=0Gbc5HpPMvA" TargetMode="External"/><Relationship Id="rId482" Type="http://schemas.openxmlformats.org/officeDocument/2006/relationships/hyperlink" Target="https://www.youtube.com/watch?v=hwhrPHANi3M" TargetMode="External"/><Relationship Id="rId483" Type="http://schemas.openxmlformats.org/officeDocument/2006/relationships/hyperlink" Target="https://www.youtube.com/watch?v=LoKWXqICBSw" TargetMode="External"/><Relationship Id="rId484" Type="http://schemas.openxmlformats.org/officeDocument/2006/relationships/hyperlink" Target="https://www.youtube.com/watch?v=JY3h5cv0kms" TargetMode="External"/><Relationship Id="rId485" Type="http://schemas.openxmlformats.org/officeDocument/2006/relationships/hyperlink" Target="https://www.youtube.com/watch?v=IJE7K5KR_go" TargetMode="External"/><Relationship Id="rId486" Type="http://schemas.openxmlformats.org/officeDocument/2006/relationships/hyperlink" Target="https://www.youtube.com/watch?v=21mBKHpGpBI" TargetMode="External"/><Relationship Id="rId487" Type="http://schemas.openxmlformats.org/officeDocument/2006/relationships/hyperlink" Target="https://www.youtube.com/watch?v=-XqYOCnkh-Q" TargetMode="External"/><Relationship Id="rId488" Type="http://schemas.openxmlformats.org/officeDocument/2006/relationships/hyperlink" Target="https://www.youtube.com/watch?v=nCczFBl3vFc" TargetMode="External"/><Relationship Id="rId489" Type="http://schemas.openxmlformats.org/officeDocument/2006/relationships/hyperlink" Target="https://www.youtube.com/watch?v=9sGZH6ekSYs" TargetMode="External"/><Relationship Id="rId490" Type="http://schemas.openxmlformats.org/officeDocument/2006/relationships/hyperlink" Target="https://www.youtube.com/watch?v=-7MDIqJT8Qw" TargetMode="External"/><Relationship Id="rId491" Type="http://schemas.openxmlformats.org/officeDocument/2006/relationships/hyperlink" Target="https://www.youtube.com/watch?v=rsoA3ggjhkU" TargetMode="External"/><Relationship Id="rId492" Type="http://schemas.openxmlformats.org/officeDocument/2006/relationships/hyperlink" Target="https://www.youtube.com/watch?v=nHs5720AusQ" TargetMode="External"/><Relationship Id="rId493" Type="http://schemas.openxmlformats.org/officeDocument/2006/relationships/hyperlink" Target="https://www.youtube.com/watch?v=JbU5gnJw5U8" TargetMode="External"/><Relationship Id="rId494" Type="http://schemas.openxmlformats.org/officeDocument/2006/relationships/hyperlink" Target="https://www.youtube.com/watch?v=U22oGb3dJL8" TargetMode="External"/><Relationship Id="rId495" Type="http://schemas.openxmlformats.org/officeDocument/2006/relationships/hyperlink" Target="https://www.youtube.com/watch?v=92dI17kb2M0" TargetMode="External"/><Relationship Id="rId496" Type="http://schemas.openxmlformats.org/officeDocument/2006/relationships/hyperlink" Target="https://www.youtube.com/watch?v=Pr4ZD-1XLX8" TargetMode="External"/><Relationship Id="rId497" Type="http://schemas.openxmlformats.org/officeDocument/2006/relationships/hyperlink" Target="https://www.youtube.com/watch?v=znacfhmFkmM" TargetMode="External"/><Relationship Id="rId498" Type="http://schemas.openxmlformats.org/officeDocument/2006/relationships/hyperlink" Target="https://www.youtube.com/watch?v=lG4-b4vcC2Q" TargetMode="External"/><Relationship Id="rId499" Type="http://schemas.openxmlformats.org/officeDocument/2006/relationships/hyperlink" Target="https://www.youtube.com/watch?v=R0157WkKzME" TargetMode="External"/><Relationship Id="rId500" Type="http://schemas.openxmlformats.org/officeDocument/2006/relationships/hyperlink" Target="https://www.youtube.com/watch?v=PIisQjssKvk" TargetMode="External"/><Relationship Id="rId501" Type="http://schemas.openxmlformats.org/officeDocument/2006/relationships/hyperlink" Target="https://www.youtube.com/watch?v=KkoRfkGPkoI" TargetMode="External"/><Relationship Id="rId502" Type="http://schemas.openxmlformats.org/officeDocument/2006/relationships/hyperlink" Target="https://www.youtube.com/watch?v=HCy7AwKuCfk" TargetMode="External"/><Relationship Id="rId503" Type="http://schemas.openxmlformats.org/officeDocument/2006/relationships/hyperlink" Target="https://www.youtube.com/watch?v=WhHfW7Ze4Sw" TargetMode="External"/><Relationship Id="rId504" Type="http://schemas.openxmlformats.org/officeDocument/2006/relationships/hyperlink" Target="https://www.youtube.com/watch?v=uyfC_2DFTIk" TargetMode="External"/><Relationship Id="rId505" Type="http://schemas.openxmlformats.org/officeDocument/2006/relationships/hyperlink" Target="https://www.youtube.com/watch?v=HW0CdCp7VJg" TargetMode="External"/><Relationship Id="rId506" Type="http://schemas.openxmlformats.org/officeDocument/2006/relationships/hyperlink" Target="https://www.youtube.com/watch?v=NUSAd_d8x5o" TargetMode="External"/><Relationship Id="rId507" Type="http://schemas.openxmlformats.org/officeDocument/2006/relationships/hyperlink" Target="https://www.youtube.com/watch?v=yso528orVVk" TargetMode="External"/><Relationship Id="rId508" Type="http://schemas.openxmlformats.org/officeDocument/2006/relationships/hyperlink" Target="https://www.youtube.com/watch?v=T03WUj9MFxA" TargetMode="External"/><Relationship Id="rId509" Type="http://schemas.openxmlformats.org/officeDocument/2006/relationships/hyperlink" Target="https://www.youtube.com/watch?v=Ye3w_BfwFMA" TargetMode="External"/><Relationship Id="rId510" Type="http://schemas.openxmlformats.org/officeDocument/2006/relationships/hyperlink" Target="https://www.youtube.com/watch?v=tHMTj3vbRuA" TargetMode="External"/><Relationship Id="rId511" Type="http://schemas.openxmlformats.org/officeDocument/2006/relationships/hyperlink" Target="https://www.youtube.com/watch?v=myXhBHoMvjw" TargetMode="External"/><Relationship Id="rId512" Type="http://schemas.openxmlformats.org/officeDocument/2006/relationships/hyperlink" Target="https://www.youtube.com/watch?v=hOm8kalqImA" TargetMode="External"/><Relationship Id="rId513" Type="http://schemas.openxmlformats.org/officeDocument/2006/relationships/hyperlink" Target="https://www.youtube.com/watch?v=prP3KopmlBs" TargetMode="External"/><Relationship Id="rId514" Type="http://schemas.openxmlformats.org/officeDocument/2006/relationships/hyperlink" Target="https://www.youtube.com/watch?v=0D_H9OBXneI" TargetMode="External"/><Relationship Id="rId515" Type="http://schemas.openxmlformats.org/officeDocument/2006/relationships/hyperlink" Target="https://www.youtube.com/watch?v=X7T0Ibz22nY" TargetMode="External"/><Relationship Id="rId516" Type="http://schemas.openxmlformats.org/officeDocument/2006/relationships/hyperlink" Target="https://www.youtube.com/watch?v=fp0YNhU12GQ" TargetMode="External"/><Relationship Id="rId517" Type="http://schemas.openxmlformats.org/officeDocument/2006/relationships/hyperlink" Target="https://www.youtube.com/watch?v=45o6PrqWlyw" TargetMode="External"/><Relationship Id="rId518" Type="http://schemas.openxmlformats.org/officeDocument/2006/relationships/hyperlink" Target="https://www.youtube.com/watch?v=F3709barRGw" TargetMode="External"/><Relationship Id="rId519" Type="http://schemas.openxmlformats.org/officeDocument/2006/relationships/hyperlink" Target="https://www.youtube.com/watch?v=nw4tXL1qXnI" TargetMode="External"/><Relationship Id="rId520" Type="http://schemas.openxmlformats.org/officeDocument/2006/relationships/hyperlink" Target="https://www.youtube.com/watch?v=PgMeQnhB37s" TargetMode="External"/><Relationship Id="rId521" Type="http://schemas.openxmlformats.org/officeDocument/2006/relationships/hyperlink" Target="https://www.youtube.com/watch?v=ZeGRxOWkxZM" TargetMode="External"/><Relationship Id="rId522" Type="http://schemas.openxmlformats.org/officeDocument/2006/relationships/hyperlink" Target="https://www.youtube.com/watch?v=OoJzdZZwZlY" TargetMode="External"/><Relationship Id="rId523" Type="http://schemas.openxmlformats.org/officeDocument/2006/relationships/hyperlink" Target="https://www.youtube.com/watch?v=k1wHw0f5a90" TargetMode="External"/><Relationship Id="rId524" Type="http://schemas.openxmlformats.org/officeDocument/2006/relationships/hyperlink" Target="https://www.youtube.com/watch?v=bR_fAIGGqS8" TargetMode="External"/><Relationship Id="rId525" Type="http://schemas.openxmlformats.org/officeDocument/2006/relationships/hyperlink" Target="https://www.youtube.com/watch?v=Qj_XApgtbmE" TargetMode="External"/><Relationship Id="rId526" Type="http://schemas.openxmlformats.org/officeDocument/2006/relationships/hyperlink" Target="https://www.youtube.com/watch?v=PNZw2HD1E6A" TargetMode="External"/><Relationship Id="rId527" Type="http://schemas.openxmlformats.org/officeDocument/2006/relationships/hyperlink" Target="https://www.youtube.com/watch?v=rt9596ZV-Sc" TargetMode="External"/><Relationship Id="rId528" Type="http://schemas.openxmlformats.org/officeDocument/2006/relationships/hyperlink" Target="https://www.youtube.com/watch?v=lpoaJ8wcLr8" TargetMode="External"/><Relationship Id="rId529" Type="http://schemas.openxmlformats.org/officeDocument/2006/relationships/hyperlink" Target="https://www.youtube.com/watch?v=BHolf82LVxc" TargetMode="External"/><Relationship Id="rId530" Type="http://schemas.openxmlformats.org/officeDocument/2006/relationships/hyperlink" Target="https://www.youtube.com/watch?v=kSMrXNjRCDg" TargetMode="External"/><Relationship Id="rId531" Type="http://schemas.openxmlformats.org/officeDocument/2006/relationships/hyperlink" Target="https://www.youtube.com/watch?v=jyBu22v0c8Q" TargetMode="External"/><Relationship Id="rId532" Type="http://schemas.openxmlformats.org/officeDocument/2006/relationships/hyperlink" Target="https://www.youtube.com/watch?v=qV3eVHDOJCw" TargetMode="External"/><Relationship Id="rId533" Type="http://schemas.openxmlformats.org/officeDocument/2006/relationships/hyperlink" Target="https://www.youtube.com/watch?v=iyHxOSfgGZs" TargetMode="External"/><Relationship Id="rId534" Type="http://schemas.openxmlformats.org/officeDocument/2006/relationships/hyperlink" Target="https://www.youtube.com/watch?v=Q46HZoqUfBE" TargetMode="External"/><Relationship Id="rId535" Type="http://schemas.openxmlformats.org/officeDocument/2006/relationships/hyperlink" Target="https://www.youtube.com/watch?v=mQ7yemIsPos" TargetMode="External"/><Relationship Id="rId536" Type="http://schemas.openxmlformats.org/officeDocument/2006/relationships/hyperlink" Target="https://www.youtube.com/watch?v=uHhk9AfsFt8" TargetMode="External"/><Relationship Id="rId537" Type="http://schemas.openxmlformats.org/officeDocument/2006/relationships/hyperlink" Target="https://www.youtube.com/watch?v=ZXSso5JgwCk" TargetMode="External"/><Relationship Id="rId538" Type="http://schemas.openxmlformats.org/officeDocument/2006/relationships/hyperlink" Target="https://www.youtube.com/watch?v=Cnx1pl7Xqxg" TargetMode="External"/><Relationship Id="rId539" Type="http://schemas.openxmlformats.org/officeDocument/2006/relationships/hyperlink" Target="https://www.youtube.com/watch?v=jzPGqkSrVnc" TargetMode="External"/><Relationship Id="rId540" Type="http://schemas.openxmlformats.org/officeDocument/2006/relationships/hyperlink" Target="https://www.youtube.com/watch?v=FtgtnC0T4VU" TargetMode="External"/><Relationship Id="rId541" Type="http://schemas.openxmlformats.org/officeDocument/2006/relationships/hyperlink" Target="https://www.youtube.com/watch?v=s8rhALpXrto" TargetMode="External"/><Relationship Id="rId542" Type="http://schemas.openxmlformats.org/officeDocument/2006/relationships/hyperlink" Target="https://www.youtube.com/watch?v=0hdDLADxuV0" TargetMode="External"/><Relationship Id="rId543" Type="http://schemas.openxmlformats.org/officeDocument/2006/relationships/hyperlink" Target="https://www.youtube.com/watch?v=0FbmI4OLbCk" TargetMode="External"/><Relationship Id="rId544" Type="http://schemas.openxmlformats.org/officeDocument/2006/relationships/hyperlink" Target="https://www.youtube.com/watch?v=GWwq_sHZBYM" TargetMode="External"/><Relationship Id="rId545" Type="http://schemas.openxmlformats.org/officeDocument/2006/relationships/hyperlink" Target="https://www.youtube.com/watch?v=XBpjVOMMFj8" TargetMode="External"/><Relationship Id="rId546" Type="http://schemas.openxmlformats.org/officeDocument/2006/relationships/hyperlink" Target="https://www.youtube.com/watch?v=Qd6m6FJS-wA" TargetMode="External"/><Relationship Id="rId547" Type="http://schemas.openxmlformats.org/officeDocument/2006/relationships/hyperlink" Target="https://www.youtube.com/watch?v=j6CVJ7C5Ywk" TargetMode="External"/><Relationship Id="rId548" Type="http://schemas.openxmlformats.org/officeDocument/2006/relationships/hyperlink" Target="https://www.youtube.com/watch?v=4Zk6KrzT33U" TargetMode="External"/><Relationship Id="rId549" Type="http://schemas.openxmlformats.org/officeDocument/2006/relationships/hyperlink" Target="https://www.youtube.com/watch?v=4nxx32WR2WM" TargetMode="External"/><Relationship Id="rId550" Type="http://schemas.openxmlformats.org/officeDocument/2006/relationships/hyperlink" Target="https://www.youtube.com/watch?v=BLrG0xkAJdM" TargetMode="External"/><Relationship Id="rId551" Type="http://schemas.openxmlformats.org/officeDocument/2006/relationships/hyperlink" Target="https://www.youtube.com/watch?v=9q73l24SVl8" TargetMode="External"/><Relationship Id="rId552" Type="http://schemas.openxmlformats.org/officeDocument/2006/relationships/hyperlink" Target="https://www.youtube.com/watch?v=ZtwFpYOpL0c" TargetMode="External"/><Relationship Id="rId553" Type="http://schemas.openxmlformats.org/officeDocument/2006/relationships/hyperlink" Target="https://www.youtube.com/watch?v=b3lVtEUlTIs" TargetMode="External"/><Relationship Id="rId554" Type="http://schemas.openxmlformats.org/officeDocument/2006/relationships/hyperlink" Target="https://www.youtube.com/watch?v=LxGVs39rw4k" TargetMode="External"/><Relationship Id="rId555" Type="http://schemas.openxmlformats.org/officeDocument/2006/relationships/hyperlink" Target="https://www.youtube.com/watch?v=tp-XGA304fo" TargetMode="External"/><Relationship Id="rId556" Type="http://schemas.openxmlformats.org/officeDocument/2006/relationships/hyperlink" Target="https://www.youtube.com/watch?v=vRJhBgZLSTk" TargetMode="External"/><Relationship Id="rId557" Type="http://schemas.openxmlformats.org/officeDocument/2006/relationships/hyperlink" Target="https://www.youtube.com/watch?v=dNDuQNz415I" TargetMode="External"/><Relationship Id="rId558" Type="http://schemas.openxmlformats.org/officeDocument/2006/relationships/hyperlink" Target="https://www.youtube.com/watch?v=EClJBEmXjnQ" TargetMode="External"/><Relationship Id="rId559" Type="http://schemas.openxmlformats.org/officeDocument/2006/relationships/hyperlink" Target="https://www.youtube.com/watch?v=p2HgTpXDwVY" TargetMode="External"/><Relationship Id="rId560" Type="http://schemas.openxmlformats.org/officeDocument/2006/relationships/hyperlink" Target="https://www.youtube.com/watch?v=TYGOnuDxvAY" TargetMode="External"/><Relationship Id="rId561" Type="http://schemas.openxmlformats.org/officeDocument/2006/relationships/hyperlink" Target="https://www.youtube.com/watch?v=W0xcc7Xlenw" TargetMode="External"/><Relationship Id="rId562" Type="http://schemas.openxmlformats.org/officeDocument/2006/relationships/hyperlink" Target="https://www.youtube.com/watch?v=jzwkPKIrpeA" TargetMode="External"/><Relationship Id="rId563" Type="http://schemas.openxmlformats.org/officeDocument/2006/relationships/hyperlink" Target="https://www.youtube.com/watch?v=iegGBThYzMI" TargetMode="External"/><Relationship Id="rId564" Type="http://schemas.openxmlformats.org/officeDocument/2006/relationships/hyperlink" Target="https://www.youtube.com/watch?v=jpfvOAVpyGw" TargetMode="External"/><Relationship Id="rId565" Type="http://schemas.openxmlformats.org/officeDocument/2006/relationships/hyperlink" Target="https://www.youtube.com/watch?v=ZMbmy-GekAM" TargetMode="External"/><Relationship Id="rId566" Type="http://schemas.openxmlformats.org/officeDocument/2006/relationships/hyperlink" Target="https://www.youtube.com/watch?v=yPwfZyXlOy0" TargetMode="External"/><Relationship Id="rId567" Type="http://schemas.openxmlformats.org/officeDocument/2006/relationships/hyperlink" Target="https://www.youtube.com/watch?v=hUVTyF5Ims8" TargetMode="External"/><Relationship Id="rId568" Type="http://schemas.openxmlformats.org/officeDocument/2006/relationships/hyperlink" Target="https://www.youtube.com/watch?v=TVF5ztnq2Ng" TargetMode="External"/><Relationship Id="rId569" Type="http://schemas.openxmlformats.org/officeDocument/2006/relationships/hyperlink" Target="https://www.youtube.com/watch?v=iVvhwvWO7dM" TargetMode="External"/><Relationship Id="rId570" Type="http://schemas.openxmlformats.org/officeDocument/2006/relationships/hyperlink" Target="https://www.youtube.com/watch?v=hN8dvvdoBso" TargetMode="External"/><Relationship Id="rId571" Type="http://schemas.openxmlformats.org/officeDocument/2006/relationships/hyperlink" Target="https://www.youtube.com/watch?v=xFv4YnLD8_g" TargetMode="External"/><Relationship Id="rId572" Type="http://schemas.openxmlformats.org/officeDocument/2006/relationships/hyperlink" Target="https://www.youtube.com/watch?v=qgRcS8RaEco" TargetMode="External"/><Relationship Id="rId573" Type="http://schemas.openxmlformats.org/officeDocument/2006/relationships/hyperlink" Target="https://www.youtube.com/watch?v=S8QdTIZM4_Y" TargetMode="External"/><Relationship Id="rId574" Type="http://schemas.openxmlformats.org/officeDocument/2006/relationships/hyperlink" Target="https://www.youtube.com/watch?v=cNsxL5iYBEA" TargetMode="External"/><Relationship Id="rId575" Type="http://schemas.openxmlformats.org/officeDocument/2006/relationships/hyperlink" Target="https://www.youtube.com/watch?v=5f8YLE7hOXc" TargetMode="External"/><Relationship Id="rId576" Type="http://schemas.openxmlformats.org/officeDocument/2006/relationships/hyperlink" Target="https://www.youtube.com/watch?v=NQv1-1csQVk" TargetMode="External"/><Relationship Id="rId577" Type="http://schemas.openxmlformats.org/officeDocument/2006/relationships/hyperlink" Target="https://www.youtube.com/watch?v=y7uYOf3ZnIE" TargetMode="External"/><Relationship Id="rId578" Type="http://schemas.openxmlformats.org/officeDocument/2006/relationships/hyperlink" Target="https://www.youtube.com/watch?v=VOvDpHbK-VI" TargetMode="External"/><Relationship Id="rId579" Type="http://schemas.openxmlformats.org/officeDocument/2006/relationships/hyperlink" Target="https://www.youtube.com/watch?v=tApF2QrNT5A" TargetMode="External"/><Relationship Id="rId580" Type="http://schemas.openxmlformats.org/officeDocument/2006/relationships/hyperlink" Target="https://www.youtube.com/watch?v=9w3dk5V1uEM" TargetMode="External"/><Relationship Id="rId581" Type="http://schemas.openxmlformats.org/officeDocument/2006/relationships/hyperlink" Target="https://www.youtube.com/watch?v=Lxa2hIvGYCI" TargetMode="External"/><Relationship Id="rId582" Type="http://schemas.openxmlformats.org/officeDocument/2006/relationships/hyperlink" Target="https://www.youtube.com/watch?v=dJ6trEYtQdI" TargetMode="External"/><Relationship Id="rId583" Type="http://schemas.openxmlformats.org/officeDocument/2006/relationships/hyperlink" Target="https://www.youtube.com/watch?v=UGsM0-wcvLU" TargetMode="External"/><Relationship Id="rId584" Type="http://schemas.openxmlformats.org/officeDocument/2006/relationships/hyperlink" Target="https://www.youtube.com/watch?v=bG9OPsE4nqU" TargetMode="External"/><Relationship Id="rId585" Type="http://schemas.openxmlformats.org/officeDocument/2006/relationships/hyperlink" Target="https://www.youtube.com/watch?v=23WZF1TqysA" TargetMode="External"/><Relationship Id="rId586" Type="http://schemas.openxmlformats.org/officeDocument/2006/relationships/hyperlink" Target="https://www.youtube.com/watch?v=u-vETYWeF-k" TargetMode="External"/><Relationship Id="rId587" Type="http://schemas.openxmlformats.org/officeDocument/2006/relationships/hyperlink" Target="https://www.youtube.com/watch?v=jR-mmJO5FAY" TargetMode="External"/><Relationship Id="rId588" Type="http://schemas.openxmlformats.org/officeDocument/2006/relationships/hyperlink" Target="https://www.youtube.com/watch?v=jJ4GPkv_IoI" TargetMode="External"/><Relationship Id="rId589" Type="http://schemas.openxmlformats.org/officeDocument/2006/relationships/hyperlink" Target="https://www.youtube.com/watch?v=5FszM5ZZJws" TargetMode="External"/><Relationship Id="rId590" Type="http://schemas.openxmlformats.org/officeDocument/2006/relationships/hyperlink" Target="https://www.youtube.com/watch?v=J1U1ul2i1Tk" TargetMode="External"/><Relationship Id="rId591" Type="http://schemas.openxmlformats.org/officeDocument/2006/relationships/hyperlink" Target="https://www.youtube.com/watch?v=J5oKSgPMa0U" TargetMode="External"/><Relationship Id="rId592" Type="http://schemas.openxmlformats.org/officeDocument/2006/relationships/hyperlink" Target="https://www.youtube.com/watch?v=AZ0t808BOAE" TargetMode="External"/><Relationship Id="rId593" Type="http://schemas.openxmlformats.org/officeDocument/2006/relationships/hyperlink" Target="https://www.youtube.com/watch?v=_mm_Mto5ISU" TargetMode="External"/><Relationship Id="rId594" Type="http://schemas.openxmlformats.org/officeDocument/2006/relationships/hyperlink" Target="https://www.youtube.com/watch?v=lbF31CRHN0c" TargetMode="External"/><Relationship Id="rId595" Type="http://schemas.openxmlformats.org/officeDocument/2006/relationships/hyperlink" Target="https://www.youtube.com/watch?v=cwCosJj2o_E" TargetMode="External"/><Relationship Id="rId596" Type="http://schemas.openxmlformats.org/officeDocument/2006/relationships/hyperlink" Target="https://www.youtube.com/watch?v=p1w8Fch2wZU" TargetMode="External"/><Relationship Id="rId597" Type="http://schemas.openxmlformats.org/officeDocument/2006/relationships/hyperlink" Target="https://www.youtube.com/watch?v=ikObQ4ut9hc" TargetMode="External"/><Relationship Id="rId598" Type="http://schemas.openxmlformats.org/officeDocument/2006/relationships/hyperlink" Target="https://www.youtube.com/watch?v=l0x61nFiuhM" TargetMode="External"/><Relationship Id="rId599" Type="http://schemas.openxmlformats.org/officeDocument/2006/relationships/hyperlink" Target="https://www.youtube.com/watch?v=-y5OVO4u9rk" TargetMode="External"/><Relationship Id="rId600" Type="http://schemas.openxmlformats.org/officeDocument/2006/relationships/hyperlink" Target="https://www.youtube.com/watch?v=imCBdKXdftw" TargetMode="External"/><Relationship Id="rId601" Type="http://schemas.openxmlformats.org/officeDocument/2006/relationships/hyperlink" Target="https://www.youtube.com/watch?v=Sw3mhjAh6JU" TargetMode="External"/><Relationship Id="rId602" Type="http://schemas.openxmlformats.org/officeDocument/2006/relationships/hyperlink" Target="https://www.youtube.com/watch?v=PAMkcASzhfY" TargetMode="External"/><Relationship Id="rId603" Type="http://schemas.openxmlformats.org/officeDocument/2006/relationships/hyperlink" Target="https://www.youtube.com/watch?v=PgfNXrs77Iw" TargetMode="External"/><Relationship Id="rId604" Type="http://schemas.openxmlformats.org/officeDocument/2006/relationships/hyperlink" Target="https://www.youtube.com/watch?v=kF_3RpJUpIQ" TargetMode="External"/><Relationship Id="rId605" Type="http://schemas.openxmlformats.org/officeDocument/2006/relationships/hyperlink" Target="https://www.youtube.com/watch?v=T5iz3w-3VNc" TargetMode="External"/><Relationship Id="rId606" Type="http://schemas.openxmlformats.org/officeDocument/2006/relationships/hyperlink" Target="https://www.youtube.com/watch?v=BWZKLr7XnzA" TargetMode="External"/><Relationship Id="rId607" Type="http://schemas.openxmlformats.org/officeDocument/2006/relationships/hyperlink" Target="https://www.youtube.com/watch?v=XwWPOgUAdMA" TargetMode="External"/><Relationship Id="rId608" Type="http://schemas.openxmlformats.org/officeDocument/2006/relationships/hyperlink" Target="https://www.youtube.com/watch?v=agsafROSFtk" TargetMode="External"/><Relationship Id="rId609" Type="http://schemas.openxmlformats.org/officeDocument/2006/relationships/hyperlink" Target="https://www.youtube.com/watch?v=7EmdFesHy_Y" TargetMode="External"/><Relationship Id="rId610" Type="http://schemas.openxmlformats.org/officeDocument/2006/relationships/hyperlink" Target="https://www.youtube.com/watch?v=Qv7Bge69Qvo" TargetMode="External"/><Relationship Id="rId611" Type="http://schemas.openxmlformats.org/officeDocument/2006/relationships/hyperlink" Target="https://www.youtube.com/watch?v=U7CLR46HeYo" TargetMode="External"/><Relationship Id="rId612" Type="http://schemas.openxmlformats.org/officeDocument/2006/relationships/hyperlink" Target="https://www.youtube.com/watch?v=lLz_zE-zxno" TargetMode="External"/><Relationship Id="rId613" Type="http://schemas.openxmlformats.org/officeDocument/2006/relationships/hyperlink" Target="https://www.youtube.com/watch?v=w5ih6SR1hR8" TargetMode="External"/><Relationship Id="rId614" Type="http://schemas.openxmlformats.org/officeDocument/2006/relationships/hyperlink" Target="https://www.youtube.com/watch?v=78RvipAD7U4" TargetMode="External"/><Relationship Id="rId615" Type="http://schemas.openxmlformats.org/officeDocument/2006/relationships/hyperlink" Target="https://www.youtube.com/watch?v=jbIPJ6-xl6w" TargetMode="External"/><Relationship Id="rId616" Type="http://schemas.openxmlformats.org/officeDocument/2006/relationships/hyperlink" Target="https://www.youtube.com/watch?v=VJwga-Iq6Sc" TargetMode="External"/><Relationship Id="rId617" Type="http://schemas.openxmlformats.org/officeDocument/2006/relationships/hyperlink" Target="https://www.youtube.com/watch?v=HFV6v9r_pkg" TargetMode="External"/><Relationship Id="rId618" Type="http://schemas.openxmlformats.org/officeDocument/2006/relationships/hyperlink" Target="https://www.youtube.com/watch?v=5FNTWh8F0uk" TargetMode="External"/><Relationship Id="rId619" Type="http://schemas.openxmlformats.org/officeDocument/2006/relationships/hyperlink" Target="https://www.youtube.com/watch?v=zHWck6jNyuo" TargetMode="External"/><Relationship Id="rId620" Type="http://schemas.openxmlformats.org/officeDocument/2006/relationships/hyperlink" Target="https://www.youtube.com/watch?v=wpAkuhAXT-4" TargetMode="External"/><Relationship Id="rId621" Type="http://schemas.openxmlformats.org/officeDocument/2006/relationships/hyperlink" Target="https://www.youtube.com/watch?v=L26aou1LKDU" TargetMode="External"/><Relationship Id="rId622" Type="http://schemas.openxmlformats.org/officeDocument/2006/relationships/hyperlink" Target="https://www.youtube.com/watch?v=V8XQYrwAoYw" TargetMode="External"/><Relationship Id="rId623" Type="http://schemas.openxmlformats.org/officeDocument/2006/relationships/hyperlink" Target="https://www.youtube.com/watch?v=utg0uo9rY2E" TargetMode="External"/><Relationship Id="rId624" Type="http://schemas.openxmlformats.org/officeDocument/2006/relationships/hyperlink" Target="https://www.youtube.com/watch?v=Fc9vhKyN1Yc" TargetMode="External"/><Relationship Id="rId625" Type="http://schemas.openxmlformats.org/officeDocument/2006/relationships/hyperlink" Target="https://www.youtube.com/watch?v=MFGOJayhDZ0" TargetMode="External"/><Relationship Id="rId626" Type="http://schemas.openxmlformats.org/officeDocument/2006/relationships/hyperlink" Target="https://www.youtube.com/watch?v=5wmbFt7v4Gg" TargetMode="External"/><Relationship Id="rId627" Type="http://schemas.openxmlformats.org/officeDocument/2006/relationships/hyperlink" Target="https://www.youtube.com/watch?v=oba7pDNMCP8" TargetMode="External"/><Relationship Id="rId628" Type="http://schemas.openxmlformats.org/officeDocument/2006/relationships/hyperlink" Target="https://www.youtube.com/watch?v=8IsvVsJlkX4" TargetMode="External"/><Relationship Id="rId629" Type="http://schemas.openxmlformats.org/officeDocument/2006/relationships/hyperlink" Target="https://www.youtube.com/watch?v=aqB72SESx8Q" TargetMode="External"/><Relationship Id="rId630" Type="http://schemas.openxmlformats.org/officeDocument/2006/relationships/hyperlink" Target="https://www.youtube.com/watch?v=_LPCtvrftAI" TargetMode="External"/><Relationship Id="rId631" Type="http://schemas.openxmlformats.org/officeDocument/2006/relationships/hyperlink" Target="https://www.youtube.com/watch?v=LRdT_wB7UyU" TargetMode="External"/><Relationship Id="rId632" Type="http://schemas.openxmlformats.org/officeDocument/2006/relationships/hyperlink" Target="https://www.youtube.com/watch?v=F2J6hBNpPUg" TargetMode="External"/><Relationship Id="rId633" Type="http://schemas.openxmlformats.org/officeDocument/2006/relationships/hyperlink" Target="https://www.youtube.com/watch?v=I92P5ur8VHM" TargetMode="External"/><Relationship Id="rId634" Type="http://schemas.openxmlformats.org/officeDocument/2006/relationships/hyperlink" Target="https://www.youtube.com/watch?v=caQ4OjtixME" TargetMode="External"/><Relationship Id="rId635" Type="http://schemas.openxmlformats.org/officeDocument/2006/relationships/hyperlink" Target="https://www.youtube.com/watch?v=LSmrTEXJkEE" TargetMode="External"/><Relationship Id="rId636" Type="http://schemas.openxmlformats.org/officeDocument/2006/relationships/hyperlink" Target="https://www.youtube.com/watch?v=6OQ_hF5LXFA" TargetMode="External"/><Relationship Id="rId637" Type="http://schemas.openxmlformats.org/officeDocument/2006/relationships/hyperlink" Target="https://www.youtube.com/watch?v=IChJgQdiYJ0" TargetMode="External"/><Relationship Id="rId638" Type="http://schemas.openxmlformats.org/officeDocument/2006/relationships/hyperlink" Target="https://www.youtube.com/watch?v=6LG3DYgiVJw" TargetMode="External"/><Relationship Id="rId639" Type="http://schemas.openxmlformats.org/officeDocument/2006/relationships/hyperlink" Target="https://www.youtube.com/watch?v=ysvAhNMEUMs" TargetMode="External"/><Relationship Id="rId640" Type="http://schemas.openxmlformats.org/officeDocument/2006/relationships/hyperlink" Target="https://www.youtube.com/watch?v=CrobTD7Szk4" TargetMode="External"/><Relationship Id="rId641" Type="http://schemas.openxmlformats.org/officeDocument/2006/relationships/hyperlink" Target="https://www.youtube.com/watch?v=G6nsrSTFsLA" TargetMode="External"/><Relationship Id="rId642" Type="http://schemas.openxmlformats.org/officeDocument/2006/relationships/hyperlink" Target="https://www.youtube.com/watch?v=CMZsERXwd2g" TargetMode="External"/><Relationship Id="rId643" Type="http://schemas.openxmlformats.org/officeDocument/2006/relationships/hyperlink" Target="https://www.youtube.com/watch?v=NgzxtD5yYO8" TargetMode="External"/><Relationship Id="rId644" Type="http://schemas.openxmlformats.org/officeDocument/2006/relationships/hyperlink" Target="https://www.youtube.com/watch?v=790DiDrhBj8" TargetMode="External"/><Relationship Id="rId645" Type="http://schemas.openxmlformats.org/officeDocument/2006/relationships/hyperlink" Target="https://www.youtube.com/watch?v=YYLqUS8TSkc" TargetMode="External"/><Relationship Id="rId646" Type="http://schemas.openxmlformats.org/officeDocument/2006/relationships/hyperlink" Target="https://www.youtube.com/watch?v=cC7jTptVBnI" TargetMode="External"/><Relationship Id="rId647" Type="http://schemas.openxmlformats.org/officeDocument/2006/relationships/hyperlink" Target="https://www.youtube.com/watch?v=ARbaRW_sjlc" TargetMode="External"/><Relationship Id="rId648" Type="http://schemas.openxmlformats.org/officeDocument/2006/relationships/hyperlink" Target="https://www.youtube.com/watch?v=WhKJJGDCD_s" TargetMode="External"/><Relationship Id="rId649" Type="http://schemas.openxmlformats.org/officeDocument/2006/relationships/hyperlink" Target="https://www.youtube.com/watch?v=o2ZBC5q-X6o" TargetMode="External"/><Relationship Id="rId650" Type="http://schemas.openxmlformats.org/officeDocument/2006/relationships/hyperlink" Target="https://www.youtube.com/watch?v=XD3tz3QbCEA" TargetMode="External"/><Relationship Id="rId651" Type="http://schemas.openxmlformats.org/officeDocument/2006/relationships/hyperlink" Target="https://www.youtube.com/watch?v=M2GaVZVhn_4" TargetMode="External"/><Relationship Id="rId652" Type="http://schemas.openxmlformats.org/officeDocument/2006/relationships/hyperlink" Target="https://www.youtube.com/watch?v=oxRFRWENjrg" TargetMode="External"/><Relationship Id="rId653" Type="http://schemas.openxmlformats.org/officeDocument/2006/relationships/hyperlink" Target="https://www.youtube.com/watch?v=KPel0vFWkzk" TargetMode="External"/><Relationship Id="rId654" Type="http://schemas.openxmlformats.org/officeDocument/2006/relationships/hyperlink" Target="https://www.youtube.com/watch?v=XnsAzueyIJ0" TargetMode="External"/><Relationship Id="rId655" Type="http://schemas.openxmlformats.org/officeDocument/2006/relationships/hyperlink" Target="https://www.youtube.com/watch?v=HT_ItO3JqY8" TargetMode="External"/><Relationship Id="rId656" Type="http://schemas.openxmlformats.org/officeDocument/2006/relationships/hyperlink" Target="https://www.youtube.com/watch?v=LU9koF2UG4c" TargetMode="External"/><Relationship Id="rId657" Type="http://schemas.openxmlformats.org/officeDocument/2006/relationships/hyperlink" Target="https://www.youtube.com/watch?v=NLVgsH23wkc" TargetMode="External"/><Relationship Id="rId658" Type="http://schemas.openxmlformats.org/officeDocument/2006/relationships/hyperlink" Target="https://www.youtube.com/watch?v=FmERN6JoBBU" TargetMode="External"/><Relationship Id="rId659" Type="http://schemas.openxmlformats.org/officeDocument/2006/relationships/hyperlink" Target="https://www.youtube.com/watch?v=cUoW92pPW6A" TargetMode="External"/><Relationship Id="rId660" Type="http://schemas.openxmlformats.org/officeDocument/2006/relationships/hyperlink" Target="https://www.youtube.com/watch?v=TQclC9Ub5ns" TargetMode="External"/><Relationship Id="rId661" Type="http://schemas.openxmlformats.org/officeDocument/2006/relationships/hyperlink" Target="https://www.youtube.com/watch?v=lBwcMXE2TkU" TargetMode="External"/><Relationship Id="rId662" Type="http://schemas.openxmlformats.org/officeDocument/2006/relationships/hyperlink" Target="https://www.youtube.com/watch?v=bzkWQ5GfNL8" TargetMode="External"/><Relationship Id="rId663" Type="http://schemas.openxmlformats.org/officeDocument/2006/relationships/hyperlink" Target="https://www.youtube.com/watch?v=mWdqXtixn9w" TargetMode="External"/><Relationship Id="rId664" Type="http://schemas.openxmlformats.org/officeDocument/2006/relationships/hyperlink" Target="https://www.youtube.com/watch?v=AJlah914Ybg" TargetMode="External"/><Relationship Id="rId665" Type="http://schemas.openxmlformats.org/officeDocument/2006/relationships/hyperlink" Target="https://www.youtube.com/watch?v=YayYzZ0Bw7M" TargetMode="External"/><Relationship Id="rId666" Type="http://schemas.openxmlformats.org/officeDocument/2006/relationships/hyperlink" Target="https://www.youtube.com/watch?v=d66X7KO0tiQ" TargetMode="External"/><Relationship Id="rId667" Type="http://schemas.openxmlformats.org/officeDocument/2006/relationships/hyperlink" Target="https://www.youtube.com/watch?v=mfmxjmjIAUE" TargetMode="External"/><Relationship Id="rId668" Type="http://schemas.openxmlformats.org/officeDocument/2006/relationships/hyperlink" Target="https://www.youtube.com/watch?v=OLktSCl5jWI" TargetMode="External"/><Relationship Id="rId669" Type="http://schemas.openxmlformats.org/officeDocument/2006/relationships/hyperlink" Target="https://www.youtube.com/watch?v=N4MUlx1-zco" TargetMode="External"/><Relationship Id="rId670" Type="http://schemas.openxmlformats.org/officeDocument/2006/relationships/hyperlink" Target="https://www.youtube.com/watch?v=1QvL2SFTolE" TargetMode="External"/><Relationship Id="rId671" Type="http://schemas.openxmlformats.org/officeDocument/2006/relationships/hyperlink" Target="https://www.youtube.com/watch?v=a0OzdRZPHRE" TargetMode="External"/><Relationship Id="rId672" Type="http://schemas.openxmlformats.org/officeDocument/2006/relationships/hyperlink" Target="https://www.youtube.com/watch?v=ZhAuSBdSNHI" TargetMode="External"/><Relationship Id="rId673" Type="http://schemas.openxmlformats.org/officeDocument/2006/relationships/hyperlink" Target="https://www.youtube.com/watch?v=_1iZjQSDDKM" TargetMode="External"/><Relationship Id="rId674" Type="http://schemas.openxmlformats.org/officeDocument/2006/relationships/hyperlink" Target="https://www.youtube.com/watch?v=SIeykCrDm_g" TargetMode="External"/><Relationship Id="rId675" Type="http://schemas.openxmlformats.org/officeDocument/2006/relationships/hyperlink" Target="https://www.youtube.com/watch?v=n0MTZsM_fSg" TargetMode="External"/><Relationship Id="rId676" Type="http://schemas.openxmlformats.org/officeDocument/2006/relationships/hyperlink" Target="https://www.youtube.com/watch?v=fxlEeNpy5ww" TargetMode="External"/><Relationship Id="rId677" Type="http://schemas.openxmlformats.org/officeDocument/2006/relationships/hyperlink" Target="https://www.youtube.com/watch?v=kUBxrCKotys" TargetMode="External"/><Relationship Id="rId678" Type="http://schemas.openxmlformats.org/officeDocument/2006/relationships/hyperlink" Target="https://www.youtube.com/watch?v=J_mKQXCiod0" TargetMode="External"/><Relationship Id="rId679" Type="http://schemas.openxmlformats.org/officeDocument/2006/relationships/hyperlink" Target="https://www.youtube.com/watch?v=gt_IaitWxpw" TargetMode="External"/><Relationship Id="rId680" Type="http://schemas.openxmlformats.org/officeDocument/2006/relationships/hyperlink" Target="https://www.youtube.com/watch?v=K86xw5nK-bY" TargetMode="External"/><Relationship Id="rId681" Type="http://schemas.openxmlformats.org/officeDocument/2006/relationships/hyperlink" Target="https://www.youtube.com/watch?v=Ht30iQW6njc" TargetMode="External"/><Relationship Id="rId682" Type="http://schemas.openxmlformats.org/officeDocument/2006/relationships/hyperlink" Target="https://www.youtube.com/watch?v=VT31wvPjNIk" TargetMode="External"/><Relationship Id="rId683" Type="http://schemas.openxmlformats.org/officeDocument/2006/relationships/hyperlink" Target="https://www.youtube.com/watch?v=qKvlMDWBR2Q" TargetMode="External"/><Relationship Id="rId684" Type="http://schemas.openxmlformats.org/officeDocument/2006/relationships/hyperlink" Target="https://www.youtube.com/watch?v=fl1hXBibMnQ" TargetMode="External"/><Relationship Id="rId685" Type="http://schemas.openxmlformats.org/officeDocument/2006/relationships/hyperlink" Target="https://www.youtube.com/watch?v=dl4ScK1iPA8" TargetMode="External"/><Relationship Id="rId686" Type="http://schemas.openxmlformats.org/officeDocument/2006/relationships/hyperlink" Target="https://www.youtube.com/watch?v=I_G-pLNLOrE" TargetMode="External"/><Relationship Id="rId687" Type="http://schemas.openxmlformats.org/officeDocument/2006/relationships/hyperlink" Target="https://www.youtube.com/watch?v=yG38y_18gGQ" TargetMode="External"/><Relationship Id="rId688" Type="http://schemas.openxmlformats.org/officeDocument/2006/relationships/hyperlink" Target="https://www.youtube.com/watch?v=uLJQwncQhMo" TargetMode="External"/><Relationship Id="rId689" Type="http://schemas.openxmlformats.org/officeDocument/2006/relationships/hyperlink" Target="https://www.youtube.com/watch?v=IcdAz71jmbc" TargetMode="External"/><Relationship Id="rId690" Type="http://schemas.openxmlformats.org/officeDocument/2006/relationships/hyperlink" Target="https://www.youtube.com/watch?v=t9HTIPaRsZ4" TargetMode="External"/><Relationship Id="rId691" Type="http://schemas.openxmlformats.org/officeDocument/2006/relationships/hyperlink" Target="https://www.youtube.com/watch?v=rKzkQv8hSZc" TargetMode="External"/><Relationship Id="rId692" Type="http://schemas.openxmlformats.org/officeDocument/2006/relationships/hyperlink" Target="https://www.youtube.com/watch?v=tNns2gAK76s" TargetMode="External"/><Relationship Id="rId693" Type="http://schemas.openxmlformats.org/officeDocument/2006/relationships/hyperlink" Target="https://www.youtube.com/watch?v=fNfuSpsZAg4" TargetMode="External"/><Relationship Id="rId694" Type="http://schemas.openxmlformats.org/officeDocument/2006/relationships/hyperlink" Target="https://www.youtube.com/watch?v=Zs0UiiIRFr0" TargetMode="External"/><Relationship Id="rId695" Type="http://schemas.openxmlformats.org/officeDocument/2006/relationships/hyperlink" Target="https://www.youtube.com/watch?v=JE1N-CwFUGM" TargetMode="External"/><Relationship Id="rId696" Type="http://schemas.openxmlformats.org/officeDocument/2006/relationships/hyperlink" Target="https://www.youtube.com/watch?v=hPCazHY6G-Y" TargetMode="External"/><Relationship Id="rId697" Type="http://schemas.openxmlformats.org/officeDocument/2006/relationships/hyperlink" Target="https://www.youtube.com/watch?v=A56K8qyqicY" TargetMode="External"/><Relationship Id="rId698" Type="http://schemas.openxmlformats.org/officeDocument/2006/relationships/hyperlink" Target="https://www.youtube.com/watch?v=fD0ln5MZgDM" TargetMode="External"/><Relationship Id="rId699" Type="http://schemas.openxmlformats.org/officeDocument/2006/relationships/hyperlink" Target="https://www.youtube.com/watch?v=-Wjs5YgIH4Q" TargetMode="External"/><Relationship Id="rId700" Type="http://schemas.openxmlformats.org/officeDocument/2006/relationships/hyperlink" Target="https://www.youtube.com/watch?v=EjBPGdO3wXs" TargetMode="External"/><Relationship Id="rId701" Type="http://schemas.openxmlformats.org/officeDocument/2006/relationships/hyperlink" Target="https://www.youtube.com/watch?v=SOy7_VWAdvA" TargetMode="External"/><Relationship Id="rId702" Type="http://schemas.openxmlformats.org/officeDocument/2006/relationships/hyperlink" Target="https://www.youtube.com/watch?v=OKQaha0Ylv0" TargetMode="External"/><Relationship Id="rId703" Type="http://schemas.openxmlformats.org/officeDocument/2006/relationships/hyperlink" Target="https://www.youtube.com/watch?v=i0sOAwIDdds" TargetMode="External"/><Relationship Id="rId704" Type="http://schemas.openxmlformats.org/officeDocument/2006/relationships/hyperlink" Target="https://www.youtube.com/watch?v=pl-WFNimIpc" TargetMode="External"/><Relationship Id="rId705" Type="http://schemas.openxmlformats.org/officeDocument/2006/relationships/hyperlink" Target="https://www.youtube.com/watch?v=QaIFjn-8Tc4" TargetMode="External"/><Relationship Id="rId706" Type="http://schemas.openxmlformats.org/officeDocument/2006/relationships/hyperlink" Target="https://www.youtube.com/watch?v=A-6upeBPIAM" TargetMode="External"/><Relationship Id="rId707" Type="http://schemas.openxmlformats.org/officeDocument/2006/relationships/hyperlink" Target="https://www.youtube.com/watch?v=eGyJNVweZaQ" TargetMode="External"/><Relationship Id="rId708" Type="http://schemas.openxmlformats.org/officeDocument/2006/relationships/hyperlink" Target="https://www.youtube.com/watch?v=ncrUSxkL_sY" TargetMode="External"/><Relationship Id="rId709" Type="http://schemas.openxmlformats.org/officeDocument/2006/relationships/hyperlink" Target="https://www.youtube.com/watch?v=5cJjwivN8TE" TargetMode="External"/><Relationship Id="rId710" Type="http://schemas.openxmlformats.org/officeDocument/2006/relationships/hyperlink" Target="https://www.youtube.com/watch?v=hjMbLb11O9k" TargetMode="External"/><Relationship Id="rId711" Type="http://schemas.openxmlformats.org/officeDocument/2006/relationships/hyperlink" Target="https://www.youtube.com/watch?v=dpzPrRuR7M0" TargetMode="External"/><Relationship Id="rId712" Type="http://schemas.openxmlformats.org/officeDocument/2006/relationships/hyperlink" Target="https://www.youtube.com/watch?v=K8LBHZBBHAI" TargetMode="External"/><Relationship Id="rId713" Type="http://schemas.openxmlformats.org/officeDocument/2006/relationships/hyperlink" Target="https://www.youtube.com/watch?v=dC7UzUgvQnM" TargetMode="External"/><Relationship Id="rId714" Type="http://schemas.openxmlformats.org/officeDocument/2006/relationships/hyperlink" Target="https://www.youtube.com/watch?v=uA4HNDk8zxg" TargetMode="External"/><Relationship Id="rId715" Type="http://schemas.openxmlformats.org/officeDocument/2006/relationships/hyperlink" Target="https://www.youtube.com/watch?v=MBkOKLnKDNM" TargetMode="External"/><Relationship Id="rId716" Type="http://schemas.openxmlformats.org/officeDocument/2006/relationships/hyperlink" Target="https://www.youtube.com/watch?v=gG5fqBNO6lc" TargetMode="External"/><Relationship Id="rId717" Type="http://schemas.openxmlformats.org/officeDocument/2006/relationships/hyperlink" Target="https://www.youtube.com/watch?v=hfB5ut8DNQc" TargetMode="External"/><Relationship Id="rId718" Type="http://schemas.openxmlformats.org/officeDocument/2006/relationships/hyperlink" Target="https://www.youtube.com/watch?v=vnHRgRmNZP8" TargetMode="External"/><Relationship Id="rId719" Type="http://schemas.openxmlformats.org/officeDocument/2006/relationships/hyperlink" Target="https://www.youtube.com/watch?v=kalf5XglgbM" TargetMode="External"/><Relationship Id="rId720" Type="http://schemas.openxmlformats.org/officeDocument/2006/relationships/hyperlink" Target="https://www.youtube.com/watch?v=SRp238SgsSk" TargetMode="External"/><Relationship Id="rId721" Type="http://schemas.openxmlformats.org/officeDocument/2006/relationships/hyperlink" Target="https://www.youtube.com/watch?v=fbug2Gkf_24" TargetMode="External"/><Relationship Id="rId722" Type="http://schemas.openxmlformats.org/officeDocument/2006/relationships/hyperlink" Target="https://www.youtube.com/watch?v=XV4DREtqFwE" TargetMode="External"/><Relationship Id="rId723" Type="http://schemas.openxmlformats.org/officeDocument/2006/relationships/hyperlink" Target="https://www.youtube.com/watch?v=H8IBRez6w5I" TargetMode="External"/><Relationship Id="rId724" Type="http://schemas.openxmlformats.org/officeDocument/2006/relationships/hyperlink" Target="https://www.youtube.com/watch?v=2R7pAJ6FG0c" TargetMode="External"/><Relationship Id="rId725" Type="http://schemas.openxmlformats.org/officeDocument/2006/relationships/hyperlink" Target="https://www.youtube.com/watch?v=bXOiMpmYtVo" TargetMode="External"/><Relationship Id="rId726" Type="http://schemas.openxmlformats.org/officeDocument/2006/relationships/hyperlink" Target="https://www.youtube.com/watch?v=7k1aiRvaqbU" TargetMode="External"/><Relationship Id="rId727" Type="http://schemas.openxmlformats.org/officeDocument/2006/relationships/hyperlink" Target="https://www.youtube.com/watch?v=cnMErolgXNc" TargetMode="External"/><Relationship Id="rId728" Type="http://schemas.openxmlformats.org/officeDocument/2006/relationships/hyperlink" Target="https://www.youtube.com/watch?v=IhBvErtI1uQ" TargetMode="External"/><Relationship Id="rId729" Type="http://schemas.openxmlformats.org/officeDocument/2006/relationships/hyperlink" Target="https://www.youtube.com/watch?v=beelhQgIwQg" TargetMode="External"/><Relationship Id="rId730" Type="http://schemas.openxmlformats.org/officeDocument/2006/relationships/hyperlink" Target="https://www.youtube.com/watch?v=Wm0TZ-ooZb4" TargetMode="External"/><Relationship Id="rId731" Type="http://schemas.openxmlformats.org/officeDocument/2006/relationships/hyperlink" Target="https://www.youtube.com/watch?v=FtzxE_jJeQY" TargetMode="External"/><Relationship Id="rId732" Type="http://schemas.openxmlformats.org/officeDocument/2006/relationships/hyperlink" Target="https://www.youtube.com/watch?v=zDySpq2iEFs" TargetMode="External"/><Relationship Id="rId733" Type="http://schemas.openxmlformats.org/officeDocument/2006/relationships/hyperlink" Target="https://www.youtube.com/watch?v=DITh4JYRh4o" TargetMode="External"/><Relationship Id="rId734" Type="http://schemas.openxmlformats.org/officeDocument/2006/relationships/hyperlink" Target="https://www.youtube.com/watch?v=p3EW3sLQ-cM" TargetMode="External"/><Relationship Id="rId735" Type="http://schemas.openxmlformats.org/officeDocument/2006/relationships/hyperlink" Target="https://www.youtube.com/watch?v=qVCHik-YOt8" TargetMode="External"/><Relationship Id="rId736" Type="http://schemas.openxmlformats.org/officeDocument/2006/relationships/hyperlink" Target="https://www.youtube.com/watch?v=EJ5x5RFnShI" TargetMode="External"/><Relationship Id="rId737" Type="http://schemas.openxmlformats.org/officeDocument/2006/relationships/hyperlink" Target="https://www.youtube.com/watch?v=SjWw99AQ5Yc" TargetMode="External"/><Relationship Id="rId738" Type="http://schemas.openxmlformats.org/officeDocument/2006/relationships/hyperlink" Target="https://www.youtube.com/watch?v=WSx7_IaC_fs" TargetMode="External"/><Relationship Id="rId739" Type="http://schemas.openxmlformats.org/officeDocument/2006/relationships/hyperlink" Target="https://www.youtube.com/watch?v=BztATpubUAY" TargetMode="External"/><Relationship Id="rId740" Type="http://schemas.openxmlformats.org/officeDocument/2006/relationships/hyperlink" Target="https://www.youtube.com/watch?v=t_5lXXWgvpQ" TargetMode="External"/><Relationship Id="rId741" Type="http://schemas.openxmlformats.org/officeDocument/2006/relationships/hyperlink" Target="https://www.youtube.com/watch?v=8tLn4YbWHHQ" TargetMode="External"/><Relationship Id="rId742" Type="http://schemas.openxmlformats.org/officeDocument/2006/relationships/hyperlink" Target="https://www.youtube.com/watch?v=PGrX5Xz5PIo" TargetMode="External"/><Relationship Id="rId743" Type="http://schemas.openxmlformats.org/officeDocument/2006/relationships/hyperlink" Target="https://www.youtube.com/watch?v=J96QIuhO0Jg" TargetMode="External"/><Relationship Id="rId744" Type="http://schemas.openxmlformats.org/officeDocument/2006/relationships/hyperlink" Target="https://www.youtube.com/watch?v=Fxd5yBiAvlU" TargetMode="External"/><Relationship Id="rId745" Type="http://schemas.openxmlformats.org/officeDocument/2006/relationships/hyperlink" Target="https://www.youtube.com/watch?v=DoH_XeHuSOg" TargetMode="External"/><Relationship Id="rId746" Type="http://schemas.openxmlformats.org/officeDocument/2006/relationships/hyperlink" Target="https://www.youtube.com/watch?v=dQJ_GUaLH6Q" TargetMode="External"/><Relationship Id="rId747" Type="http://schemas.openxmlformats.org/officeDocument/2006/relationships/hyperlink" Target="https://www.youtube.com/watch?v=0B03bDjZHDk" TargetMode="External"/><Relationship Id="rId748" Type="http://schemas.openxmlformats.org/officeDocument/2006/relationships/hyperlink" Target="https://www.youtube.com/watch?v=7_j7xsZHp9Q" TargetMode="External"/><Relationship Id="rId749" Type="http://schemas.openxmlformats.org/officeDocument/2006/relationships/hyperlink" Target="https://www.youtube.com/watch?v=1CPJ3P9tzEo" TargetMode="External"/><Relationship Id="rId750" Type="http://schemas.openxmlformats.org/officeDocument/2006/relationships/hyperlink" Target="https://www.youtube.com/watch?v=EcCxWVV9wyw" TargetMode="External"/><Relationship Id="rId751" Type="http://schemas.openxmlformats.org/officeDocument/2006/relationships/hyperlink" Target="https://www.youtube.com/watch?v=9U5ZFe8MCbA" TargetMode="External"/><Relationship Id="rId752" Type="http://schemas.openxmlformats.org/officeDocument/2006/relationships/hyperlink" Target="https://www.youtube.com/watch?v=4sCNr8i-OyU" TargetMode="External"/><Relationship Id="rId753" Type="http://schemas.openxmlformats.org/officeDocument/2006/relationships/hyperlink" Target="https://www.youtube.com/watch?v=sZH2sGQa3ho" TargetMode="External"/><Relationship Id="rId754" Type="http://schemas.openxmlformats.org/officeDocument/2006/relationships/hyperlink" Target="https://www.youtube.com/watch?v=DZFuxx_oUDA" TargetMode="External"/><Relationship Id="rId755" Type="http://schemas.openxmlformats.org/officeDocument/2006/relationships/hyperlink" Target="https://www.youtube.com/watch?v=kwFP-raYB9c" TargetMode="External"/><Relationship Id="rId756" Type="http://schemas.openxmlformats.org/officeDocument/2006/relationships/hyperlink" Target="https://www.youtube.com/watch?v=IrXRI5lB-6Q" TargetMode="External"/><Relationship Id="rId757" Type="http://schemas.openxmlformats.org/officeDocument/2006/relationships/hyperlink" Target="https://www.youtube.com/watch?v=HWK7hqMfyNc" TargetMode="External"/><Relationship Id="rId758" Type="http://schemas.openxmlformats.org/officeDocument/2006/relationships/hyperlink" Target="https://www.youtube.com/watch?v=sBEh4uMOo30" TargetMode="External"/><Relationship Id="rId759" Type="http://schemas.openxmlformats.org/officeDocument/2006/relationships/hyperlink" Target="https://www.youtube.com/watch?v=liSTs8xEoCc" TargetMode="External"/><Relationship Id="rId760" Type="http://schemas.openxmlformats.org/officeDocument/2006/relationships/hyperlink" Target="https://www.youtube.com/watch?v=GOZ0P0LvwdQ" TargetMode="External"/><Relationship Id="rId761" Type="http://schemas.openxmlformats.org/officeDocument/2006/relationships/hyperlink" Target="https://www.youtube.com/watch?v=J_Qq9yKHxWw" TargetMode="External"/><Relationship Id="rId762" Type="http://schemas.openxmlformats.org/officeDocument/2006/relationships/hyperlink" Target="https://www.youtube.com/watch?v=YUTCXzsXiuk" TargetMode="External"/><Relationship Id="rId763" Type="http://schemas.openxmlformats.org/officeDocument/2006/relationships/hyperlink" Target="https://www.youtube.com/watch?v=3pX_S3Nsq4s" TargetMode="External"/><Relationship Id="rId764" Type="http://schemas.openxmlformats.org/officeDocument/2006/relationships/hyperlink" Target="https://www.youtube.com/watch?v=D41Mmtp_G5M" TargetMode="External"/><Relationship Id="rId765" Type="http://schemas.openxmlformats.org/officeDocument/2006/relationships/hyperlink" Target="https://www.youtube.com/watch?v=-TTqSIP7Sto" TargetMode="External"/><Relationship Id="rId766" Type="http://schemas.openxmlformats.org/officeDocument/2006/relationships/hyperlink" Target="https://www.youtube.com/watch?v=cFv52vYP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240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0" customWidth="1"/>
    <col min="4" max="4" width="32" customWidth="1"/>
    <col min="5" max="6" width="14" customWidth="1"/>
    <col min="7" max="7" width="1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18" customHeight="1" spans="1:7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28" customHeight="1" spans="1:7" x14ac:dyDescent="0.25">
      <c r="A5" s="3"/>
      <c r="B5" s="5">
        <v>766</v>
      </c>
      <c r="C5" s="6">
        <f>COUNTIF(G8:G3500, "X")</f>
        <v>0</v>
      </c>
      <c r="D5" s="7">
        <f>B5-C5</f>
        <v>766</v>
      </c>
      <c r="E5" s="8">
        <f>IFERROR(C5/B5, 0)</f>
        <v>0</v>
      </c>
      <c r="F5" s="9">
        <f>ROUND(SUM('Veri Bankası'!D2:D767)/60, 1)</f>
        <v>443.8</v>
      </c>
      <c r="G5" s="10">
        <f>IFERROR(ROUND((C5/B5)*F5, 1), 0)</f>
        <v>0</v>
      </c>
    </row>
    <row r="6" ht="8" customHeight="1" x14ac:dyDescent="0.25"/>
    <row r="7" ht="26" customHeight="1" spans="1:7" x14ac:dyDescent="0.25">
      <c r="A7" s="11" t="s">
        <v>9</v>
      </c>
      <c r="B7" s="12" t="s">
        <v>10</v>
      </c>
      <c r="C7" s="12" t="s">
        <v>11</v>
      </c>
      <c r="D7" s="12" t="s">
        <v>12</v>
      </c>
      <c r="E7" s="13" t="s">
        <v>13</v>
      </c>
      <c r="F7" s="11" t="s">
        <v>14</v>
      </c>
      <c r="G7" s="11" t="s">
        <v>15</v>
      </c>
    </row>
    <row r="8" ht="25" customHeight="1" spans="1:7" x14ac:dyDescent="0.25">
      <c r="A8" s="14" t="s">
        <v>16</v>
      </c>
      <c r="B8" s="14"/>
      <c r="C8" s="14"/>
      <c r="D8" s="14"/>
      <c r="E8" s="14"/>
      <c r="F8" s="14"/>
      <c r="G8" s="14"/>
    </row>
    <row r="9" ht="22" customHeight="1" spans="1:7" x14ac:dyDescent="0.25">
      <c r="A9" s="15" t="s">
        <v>17</v>
      </c>
      <c r="B9" s="15"/>
      <c r="C9" s="15"/>
      <c r="D9" s="15"/>
      <c r="E9" s="15"/>
      <c r="F9" s="15"/>
      <c r="G9" s="15"/>
    </row>
    <row r="10" ht="22" customHeight="1" spans="1:7" x14ac:dyDescent="0.25">
      <c r="A10" s="16" t="s">
        <v>18</v>
      </c>
      <c r="B10" s="17" t="s">
        <v>19</v>
      </c>
      <c r="C10" s="17" t="s">
        <v>20</v>
      </c>
      <c r="D10" s="17" t="s">
        <v>21</v>
      </c>
      <c r="E10" s="18">
        <v>11.7</v>
      </c>
      <c r="F10" s="19" t="s">
        <v>22</v>
      </c>
      <c r="G10" s="16" t="s">
        <v>23</v>
      </c>
    </row>
    <row r="11" ht="20" customHeight="1" spans="1:7" x14ac:dyDescent="0.25">
      <c r="A11" s="20" t="s">
        <v>24</v>
      </c>
      <c r="B11" s="21" t="s">
        <v>25</v>
      </c>
      <c r="C11" s="21" t="s">
        <v>26</v>
      </c>
      <c r="D11" s="21" t="s">
        <v>27</v>
      </c>
      <c r="E11" s="22" t="s">
        <v>23</v>
      </c>
      <c r="F11" s="20" t="s">
        <v>27</v>
      </c>
      <c r="G11" s="20" t="s">
        <v>27</v>
      </c>
    </row>
    <row r="12" ht="22" customHeight="1" spans="1:7" x14ac:dyDescent="0.25">
      <c r="A12" s="16" t="s">
        <v>28</v>
      </c>
      <c r="B12" s="17" t="s">
        <v>19</v>
      </c>
      <c r="C12" s="17" t="s">
        <v>29</v>
      </c>
      <c r="D12" s="17" t="s">
        <v>21</v>
      </c>
      <c r="E12" s="18">
        <v>37.3</v>
      </c>
      <c r="F12" s="19" t="s">
        <v>22</v>
      </c>
      <c r="G12" s="16" t="s">
        <v>23</v>
      </c>
    </row>
    <row r="13" ht="20" customHeight="1" spans="1:7" x14ac:dyDescent="0.25">
      <c r="A13" s="20" t="s">
        <v>30</v>
      </c>
      <c r="B13" s="21" t="s">
        <v>25</v>
      </c>
      <c r="C13" s="21" t="s">
        <v>26</v>
      </c>
      <c r="D13" s="21" t="s">
        <v>27</v>
      </c>
      <c r="E13" s="22" t="s">
        <v>23</v>
      </c>
      <c r="F13" s="20" t="s">
        <v>27</v>
      </c>
      <c r="G13" s="20" t="s">
        <v>27</v>
      </c>
    </row>
    <row r="14" ht="22" customHeight="1" spans="1:7" x14ac:dyDescent="0.25">
      <c r="A14" s="16" t="s">
        <v>31</v>
      </c>
      <c r="B14" s="17" t="s">
        <v>32</v>
      </c>
      <c r="C14" s="17" t="s">
        <v>33</v>
      </c>
      <c r="D14" s="17" t="s">
        <v>34</v>
      </c>
      <c r="E14" s="18">
        <v>27</v>
      </c>
      <c r="F14" s="19" t="s">
        <v>22</v>
      </c>
      <c r="G14" s="16" t="s">
        <v>23</v>
      </c>
    </row>
    <row r="15" ht="20" customHeight="1" spans="1:7" x14ac:dyDescent="0.25">
      <c r="A15" s="20" t="s">
        <v>35</v>
      </c>
      <c r="B15" s="21" t="s">
        <v>25</v>
      </c>
      <c r="C15" s="21" t="s">
        <v>26</v>
      </c>
      <c r="D15" s="21" t="s">
        <v>27</v>
      </c>
      <c r="E15" s="22" t="s">
        <v>23</v>
      </c>
      <c r="F15" s="20" t="s">
        <v>27</v>
      </c>
      <c r="G15" s="20" t="s">
        <v>27</v>
      </c>
    </row>
    <row r="16" ht="22" customHeight="1" spans="1:7" x14ac:dyDescent="0.25">
      <c r="A16" s="16" t="s">
        <v>36</v>
      </c>
      <c r="B16" s="17" t="s">
        <v>32</v>
      </c>
      <c r="C16" s="17" t="s">
        <v>37</v>
      </c>
      <c r="D16" s="17" t="s">
        <v>34</v>
      </c>
      <c r="E16" s="18">
        <v>14.4</v>
      </c>
      <c r="F16" s="19" t="s">
        <v>22</v>
      </c>
      <c r="G16" s="16" t="s">
        <v>23</v>
      </c>
    </row>
    <row r="17" ht="24" customHeight="1" spans="1:7" x14ac:dyDescent="0.25">
      <c r="A17" s="23" t="s">
        <v>38</v>
      </c>
      <c r="B17" s="23" t="s">
        <v>39</v>
      </c>
      <c r="C17" s="24" t="s">
        <v>40</v>
      </c>
      <c r="D17" s="24" t="s">
        <v>41</v>
      </c>
      <c r="E17" s="25">
        <f>SUM(E10,E12,E14,E16)</f>
        <v>90.4</v>
      </c>
      <c r="F17" s="23" t="str">
        <f>ROUND(E17/60, 1) &amp; " Saat"</f>
        <v>1.5 Saat</v>
      </c>
      <c r="G17" s="23" t="str">
        <f>COUNTIF(G10:G16, "X") &amp; "/4"</f>
        <v>0/4</v>
      </c>
    </row>
    <row r="18" ht="22" customHeight="1" spans="1:7" x14ac:dyDescent="0.25">
      <c r="A18" s="15" t="s">
        <v>42</v>
      </c>
      <c r="B18" s="15"/>
      <c r="C18" s="15"/>
      <c r="D18" s="15"/>
      <c r="E18" s="15"/>
      <c r="F18" s="15"/>
      <c r="G18" s="15"/>
    </row>
    <row r="19" ht="22" customHeight="1" spans="1:7" x14ac:dyDescent="0.25">
      <c r="A19" s="16" t="s">
        <v>18</v>
      </c>
      <c r="B19" s="17" t="s">
        <v>43</v>
      </c>
      <c r="C19" s="17" t="s">
        <v>44</v>
      </c>
      <c r="D19" s="17" t="s">
        <v>45</v>
      </c>
      <c r="E19" s="18">
        <v>23.3</v>
      </c>
      <c r="F19" s="19" t="s">
        <v>22</v>
      </c>
      <c r="G19" s="16" t="s">
        <v>23</v>
      </c>
    </row>
    <row r="20" ht="20" customHeight="1" spans="1:7" x14ac:dyDescent="0.25">
      <c r="A20" s="20" t="s">
        <v>24</v>
      </c>
      <c r="B20" s="21" t="s">
        <v>25</v>
      </c>
      <c r="C20" s="21" t="s">
        <v>26</v>
      </c>
      <c r="D20" s="21" t="s">
        <v>27</v>
      </c>
      <c r="E20" s="22" t="s">
        <v>23</v>
      </c>
      <c r="F20" s="20" t="s">
        <v>27</v>
      </c>
      <c r="G20" s="20" t="s">
        <v>27</v>
      </c>
    </row>
    <row r="21" ht="22" customHeight="1" spans="1:7" x14ac:dyDescent="0.25">
      <c r="A21" s="16" t="s">
        <v>28</v>
      </c>
      <c r="B21" s="17" t="s">
        <v>43</v>
      </c>
      <c r="C21" s="17" t="s">
        <v>46</v>
      </c>
      <c r="D21" s="17" t="s">
        <v>45</v>
      </c>
      <c r="E21" s="18">
        <v>46.7</v>
      </c>
      <c r="F21" s="19" t="s">
        <v>22</v>
      </c>
      <c r="G21" s="16" t="s">
        <v>23</v>
      </c>
    </row>
    <row r="22" ht="20" customHeight="1" spans="1:7" x14ac:dyDescent="0.25">
      <c r="A22" s="20" t="s">
        <v>30</v>
      </c>
      <c r="B22" s="21" t="s">
        <v>25</v>
      </c>
      <c r="C22" s="21" t="s">
        <v>26</v>
      </c>
      <c r="D22" s="21" t="s">
        <v>27</v>
      </c>
      <c r="E22" s="22" t="s">
        <v>23</v>
      </c>
      <c r="F22" s="20" t="s">
        <v>27</v>
      </c>
      <c r="G22" s="20" t="s">
        <v>27</v>
      </c>
    </row>
    <row r="23" ht="22" customHeight="1" spans="1:7" x14ac:dyDescent="0.25">
      <c r="A23" s="16" t="s">
        <v>31</v>
      </c>
      <c r="B23" s="17" t="s">
        <v>47</v>
      </c>
      <c r="C23" s="17" t="s">
        <v>48</v>
      </c>
      <c r="D23" s="17" t="s">
        <v>49</v>
      </c>
      <c r="E23" s="18">
        <v>30.4</v>
      </c>
      <c r="F23" s="19" t="s">
        <v>22</v>
      </c>
      <c r="G23" s="16" t="s">
        <v>23</v>
      </c>
    </row>
    <row r="24" ht="20" customHeight="1" spans="1:7" x14ac:dyDescent="0.25">
      <c r="A24" s="20" t="s">
        <v>35</v>
      </c>
      <c r="B24" s="21" t="s">
        <v>25</v>
      </c>
      <c r="C24" s="21" t="s">
        <v>26</v>
      </c>
      <c r="D24" s="21" t="s">
        <v>27</v>
      </c>
      <c r="E24" s="22" t="s">
        <v>23</v>
      </c>
      <c r="F24" s="20" t="s">
        <v>27</v>
      </c>
      <c r="G24" s="20" t="s">
        <v>27</v>
      </c>
    </row>
    <row r="25" ht="22" customHeight="1" spans="1:7" x14ac:dyDescent="0.25">
      <c r="A25" s="16" t="s">
        <v>36</v>
      </c>
      <c r="B25" s="17" t="s">
        <v>47</v>
      </c>
      <c r="C25" s="17" t="s">
        <v>50</v>
      </c>
      <c r="D25" s="17" t="s">
        <v>49</v>
      </c>
      <c r="E25" s="18">
        <v>30.2</v>
      </c>
      <c r="F25" s="19" t="s">
        <v>22</v>
      </c>
      <c r="G25" s="16" t="s">
        <v>23</v>
      </c>
    </row>
    <row r="26" ht="24" customHeight="1" spans="1:7" x14ac:dyDescent="0.25">
      <c r="A26" s="23" t="s">
        <v>38</v>
      </c>
      <c r="B26" s="23" t="s">
        <v>39</v>
      </c>
      <c r="C26" s="24" t="s">
        <v>40</v>
      </c>
      <c r="D26" s="24" t="s">
        <v>41</v>
      </c>
      <c r="E26" s="25">
        <f>SUM(E19,E21,E23,E25)</f>
        <v>130.6</v>
      </c>
      <c r="F26" s="23" t="str">
        <f>ROUND(E26/60, 1) &amp; " Saat"</f>
        <v>2.2 Saat</v>
      </c>
      <c r="G26" s="23" t="str">
        <f>COUNTIF(G19:G25, "X") &amp; "/4"</f>
        <v>0/4</v>
      </c>
    </row>
    <row r="27" ht="22" customHeight="1" spans="1:7" x14ac:dyDescent="0.25">
      <c r="A27" s="15" t="s">
        <v>51</v>
      </c>
      <c r="B27" s="15"/>
      <c r="C27" s="15"/>
      <c r="D27" s="15"/>
      <c r="E27" s="15"/>
      <c r="F27" s="15"/>
      <c r="G27" s="15"/>
    </row>
    <row r="28" ht="22" customHeight="1" spans="1:7" x14ac:dyDescent="0.25">
      <c r="A28" s="16" t="s">
        <v>18</v>
      </c>
      <c r="B28" s="17" t="s">
        <v>52</v>
      </c>
      <c r="C28" s="17" t="s">
        <v>53</v>
      </c>
      <c r="D28" s="17" t="s">
        <v>54</v>
      </c>
      <c r="E28" s="18">
        <v>9.3</v>
      </c>
      <c r="F28" s="19" t="s">
        <v>22</v>
      </c>
      <c r="G28" s="16" t="s">
        <v>23</v>
      </c>
    </row>
    <row r="29" ht="20" customHeight="1" spans="1:7" x14ac:dyDescent="0.25">
      <c r="A29" s="20" t="s">
        <v>24</v>
      </c>
      <c r="B29" s="21" t="s">
        <v>25</v>
      </c>
      <c r="C29" s="21" t="s">
        <v>26</v>
      </c>
      <c r="D29" s="21" t="s">
        <v>27</v>
      </c>
      <c r="E29" s="22" t="s">
        <v>23</v>
      </c>
      <c r="F29" s="20" t="s">
        <v>27</v>
      </c>
      <c r="G29" s="20" t="s">
        <v>27</v>
      </c>
    </row>
    <row r="30" ht="22" customHeight="1" spans="1:7" x14ac:dyDescent="0.25">
      <c r="A30" s="16" t="s">
        <v>28</v>
      </c>
      <c r="B30" s="17" t="s">
        <v>52</v>
      </c>
      <c r="C30" s="17" t="s">
        <v>55</v>
      </c>
      <c r="D30" s="17" t="s">
        <v>54</v>
      </c>
      <c r="E30" s="18">
        <v>13.4</v>
      </c>
      <c r="F30" s="19" t="s">
        <v>22</v>
      </c>
      <c r="G30" s="16" t="s">
        <v>23</v>
      </c>
    </row>
    <row r="31" ht="20" customHeight="1" spans="1:7" x14ac:dyDescent="0.25">
      <c r="A31" s="20" t="s">
        <v>30</v>
      </c>
      <c r="B31" s="21" t="s">
        <v>25</v>
      </c>
      <c r="C31" s="21" t="s">
        <v>26</v>
      </c>
      <c r="D31" s="21" t="s">
        <v>27</v>
      </c>
      <c r="E31" s="22" t="s">
        <v>23</v>
      </c>
      <c r="F31" s="20" t="s">
        <v>27</v>
      </c>
      <c r="G31" s="20" t="s">
        <v>27</v>
      </c>
    </row>
    <row r="32" ht="22" customHeight="1" spans="1:7" x14ac:dyDescent="0.25">
      <c r="A32" s="16" t="s">
        <v>31</v>
      </c>
      <c r="B32" s="17" t="s">
        <v>56</v>
      </c>
      <c r="C32" s="17" t="s">
        <v>57</v>
      </c>
      <c r="D32" s="17" t="s">
        <v>58</v>
      </c>
      <c r="E32" s="18">
        <v>25.6</v>
      </c>
      <c r="F32" s="19" t="s">
        <v>22</v>
      </c>
      <c r="G32" s="16" t="s">
        <v>23</v>
      </c>
    </row>
    <row r="33" ht="20" customHeight="1" spans="1:7" x14ac:dyDescent="0.25">
      <c r="A33" s="20" t="s">
        <v>35</v>
      </c>
      <c r="B33" s="21" t="s">
        <v>25</v>
      </c>
      <c r="C33" s="21" t="s">
        <v>26</v>
      </c>
      <c r="D33" s="21" t="s">
        <v>27</v>
      </c>
      <c r="E33" s="22" t="s">
        <v>23</v>
      </c>
      <c r="F33" s="20" t="s">
        <v>27</v>
      </c>
      <c r="G33" s="20" t="s">
        <v>27</v>
      </c>
    </row>
    <row r="34" ht="22" customHeight="1" spans="1:7" x14ac:dyDescent="0.25">
      <c r="A34" s="16" t="s">
        <v>36</v>
      </c>
      <c r="B34" s="17" t="s">
        <v>56</v>
      </c>
      <c r="C34" s="17" t="s">
        <v>59</v>
      </c>
      <c r="D34" s="17" t="s">
        <v>58</v>
      </c>
      <c r="E34" s="18">
        <v>17.6</v>
      </c>
      <c r="F34" s="19" t="s">
        <v>22</v>
      </c>
      <c r="G34" s="16" t="s">
        <v>23</v>
      </c>
    </row>
    <row r="35" ht="24" customHeight="1" spans="1:7" x14ac:dyDescent="0.25">
      <c r="A35" s="23" t="s">
        <v>38</v>
      </c>
      <c r="B35" s="23" t="s">
        <v>39</v>
      </c>
      <c r="C35" s="24" t="s">
        <v>40</v>
      </c>
      <c r="D35" s="24" t="s">
        <v>41</v>
      </c>
      <c r="E35" s="25">
        <f>SUM(E28,E30,E32,E34)</f>
        <v>65.9</v>
      </c>
      <c r="F35" s="23" t="str">
        <f>ROUND(E35/60, 1) &amp; " Saat"</f>
        <v>1.1 Saat</v>
      </c>
      <c r="G35" s="23" t="str">
        <f>COUNTIF(G28:G34, "X") &amp; "/4"</f>
        <v>0/4</v>
      </c>
    </row>
    <row r="36" ht="22" customHeight="1" spans="1:7" x14ac:dyDescent="0.25">
      <c r="A36" s="15" t="s">
        <v>60</v>
      </c>
      <c r="B36" s="15"/>
      <c r="C36" s="15"/>
      <c r="D36" s="15"/>
      <c r="E36" s="15"/>
      <c r="F36" s="15"/>
      <c r="G36" s="15"/>
    </row>
    <row r="37" ht="22" customHeight="1" spans="1:7" x14ac:dyDescent="0.25">
      <c r="A37" s="16" t="s">
        <v>18</v>
      </c>
      <c r="B37" s="17" t="s">
        <v>43</v>
      </c>
      <c r="C37" s="17" t="s">
        <v>61</v>
      </c>
      <c r="D37" s="17" t="s">
        <v>45</v>
      </c>
      <c r="E37" s="18">
        <v>31.6</v>
      </c>
      <c r="F37" s="19" t="s">
        <v>22</v>
      </c>
      <c r="G37" s="16" t="s">
        <v>23</v>
      </c>
    </row>
    <row r="38" ht="20" customHeight="1" spans="1:7" x14ac:dyDescent="0.25">
      <c r="A38" s="20" t="s">
        <v>24</v>
      </c>
      <c r="B38" s="21" t="s">
        <v>25</v>
      </c>
      <c r="C38" s="21" t="s">
        <v>26</v>
      </c>
      <c r="D38" s="21" t="s">
        <v>27</v>
      </c>
      <c r="E38" s="22" t="s">
        <v>23</v>
      </c>
      <c r="F38" s="20" t="s">
        <v>27</v>
      </c>
      <c r="G38" s="20" t="s">
        <v>27</v>
      </c>
    </row>
    <row r="39" ht="22" customHeight="1" spans="1:7" x14ac:dyDescent="0.25">
      <c r="A39" s="16" t="s">
        <v>28</v>
      </c>
      <c r="B39" s="17" t="s">
        <v>43</v>
      </c>
      <c r="C39" s="17" t="s">
        <v>62</v>
      </c>
      <c r="D39" s="17" t="s">
        <v>45</v>
      </c>
      <c r="E39" s="18">
        <v>80.3</v>
      </c>
      <c r="F39" s="19" t="s">
        <v>22</v>
      </c>
      <c r="G39" s="16" t="s">
        <v>23</v>
      </c>
    </row>
    <row r="40" ht="20" customHeight="1" spans="1:7" x14ac:dyDescent="0.25">
      <c r="A40" s="20" t="s">
        <v>30</v>
      </c>
      <c r="B40" s="21" t="s">
        <v>25</v>
      </c>
      <c r="C40" s="21" t="s">
        <v>26</v>
      </c>
      <c r="D40" s="21" t="s">
        <v>27</v>
      </c>
      <c r="E40" s="22" t="s">
        <v>23</v>
      </c>
      <c r="F40" s="20" t="s">
        <v>27</v>
      </c>
      <c r="G40" s="20" t="s">
        <v>27</v>
      </c>
    </row>
    <row r="41" ht="22" customHeight="1" spans="1:7" x14ac:dyDescent="0.25">
      <c r="A41" s="16" t="s">
        <v>31</v>
      </c>
      <c r="B41" s="17" t="s">
        <v>63</v>
      </c>
      <c r="C41" s="17" t="s">
        <v>64</v>
      </c>
      <c r="D41" s="17" t="s">
        <v>65</v>
      </c>
      <c r="E41" s="18">
        <v>17.6</v>
      </c>
      <c r="F41" s="19" t="s">
        <v>22</v>
      </c>
      <c r="G41" s="16" t="s">
        <v>23</v>
      </c>
    </row>
    <row r="42" ht="20" customHeight="1" spans="1:7" x14ac:dyDescent="0.25">
      <c r="A42" s="20" t="s">
        <v>35</v>
      </c>
      <c r="B42" s="21" t="s">
        <v>25</v>
      </c>
      <c r="C42" s="21" t="s">
        <v>26</v>
      </c>
      <c r="D42" s="21" t="s">
        <v>27</v>
      </c>
      <c r="E42" s="22" t="s">
        <v>23</v>
      </c>
      <c r="F42" s="20" t="s">
        <v>27</v>
      </c>
      <c r="G42" s="20" t="s">
        <v>27</v>
      </c>
    </row>
    <row r="43" ht="22" customHeight="1" spans="1:7" x14ac:dyDescent="0.25">
      <c r="A43" s="16" t="s">
        <v>36</v>
      </c>
      <c r="B43" s="17" t="s">
        <v>63</v>
      </c>
      <c r="C43" s="17" t="s">
        <v>66</v>
      </c>
      <c r="D43" s="17" t="s">
        <v>65</v>
      </c>
      <c r="E43" s="18">
        <v>88.8</v>
      </c>
      <c r="F43" s="19" t="s">
        <v>22</v>
      </c>
      <c r="G43" s="16" t="s">
        <v>23</v>
      </c>
    </row>
    <row r="44" ht="24" customHeight="1" spans="1:7" x14ac:dyDescent="0.25">
      <c r="A44" s="23" t="s">
        <v>38</v>
      </c>
      <c r="B44" s="23" t="s">
        <v>39</v>
      </c>
      <c r="C44" s="24" t="s">
        <v>40</v>
      </c>
      <c r="D44" s="24" t="s">
        <v>41</v>
      </c>
      <c r="E44" s="25">
        <f>SUM(E37,E39,E41,E43)</f>
        <v>218.3</v>
      </c>
      <c r="F44" s="23" t="str">
        <f>ROUND(E44/60, 1) &amp; " Saat"</f>
        <v>3.6 Saat</v>
      </c>
      <c r="G44" s="23" t="str">
        <f>COUNTIF(G37:G43, "X") &amp; "/4"</f>
        <v>0/4</v>
      </c>
    </row>
    <row r="45" ht="22" customHeight="1" spans="1:7" x14ac:dyDescent="0.25">
      <c r="A45" s="15" t="s">
        <v>67</v>
      </c>
      <c r="B45" s="15"/>
      <c r="C45" s="15"/>
      <c r="D45" s="15"/>
      <c r="E45" s="15"/>
      <c r="F45" s="15"/>
      <c r="G45" s="15"/>
    </row>
    <row r="46" ht="22" customHeight="1" spans="1:7" x14ac:dyDescent="0.25">
      <c r="A46" s="16" t="s">
        <v>18</v>
      </c>
      <c r="B46" s="17" t="s">
        <v>68</v>
      </c>
      <c r="C46" s="17" t="s">
        <v>69</v>
      </c>
      <c r="D46" s="17" t="s">
        <v>70</v>
      </c>
      <c r="E46" s="18">
        <v>7.5</v>
      </c>
      <c r="F46" s="19" t="s">
        <v>22</v>
      </c>
      <c r="G46" s="16" t="s">
        <v>23</v>
      </c>
    </row>
    <row r="47" ht="20" customHeight="1" spans="1:7" x14ac:dyDescent="0.25">
      <c r="A47" s="20" t="s">
        <v>24</v>
      </c>
      <c r="B47" s="21" t="s">
        <v>25</v>
      </c>
      <c r="C47" s="21" t="s">
        <v>26</v>
      </c>
      <c r="D47" s="21" t="s">
        <v>27</v>
      </c>
      <c r="E47" s="22" t="s">
        <v>23</v>
      </c>
      <c r="F47" s="20" t="s">
        <v>27</v>
      </c>
      <c r="G47" s="20" t="s">
        <v>27</v>
      </c>
    </row>
    <row r="48" ht="22" customHeight="1" spans="1:7" x14ac:dyDescent="0.25">
      <c r="A48" s="16" t="s">
        <v>28</v>
      </c>
      <c r="B48" s="17" t="s">
        <v>68</v>
      </c>
      <c r="C48" s="17" t="s">
        <v>71</v>
      </c>
      <c r="D48" s="17" t="s">
        <v>70</v>
      </c>
      <c r="E48" s="18">
        <v>17</v>
      </c>
      <c r="F48" s="19" t="s">
        <v>22</v>
      </c>
      <c r="G48" s="16" t="s">
        <v>23</v>
      </c>
    </row>
    <row r="49" ht="20" customHeight="1" spans="1:7" x14ac:dyDescent="0.25">
      <c r="A49" s="20" t="s">
        <v>30</v>
      </c>
      <c r="B49" s="21" t="s">
        <v>25</v>
      </c>
      <c r="C49" s="21" t="s">
        <v>26</v>
      </c>
      <c r="D49" s="21" t="s">
        <v>27</v>
      </c>
      <c r="E49" s="22" t="s">
        <v>23</v>
      </c>
      <c r="F49" s="20" t="s">
        <v>27</v>
      </c>
      <c r="G49" s="20" t="s">
        <v>27</v>
      </c>
    </row>
    <row r="50" ht="22" customHeight="1" spans="1:7" x14ac:dyDescent="0.25">
      <c r="A50" s="16" t="s">
        <v>31</v>
      </c>
      <c r="B50" s="17" t="s">
        <v>56</v>
      </c>
      <c r="C50" s="17" t="s">
        <v>72</v>
      </c>
      <c r="D50" s="17" t="s">
        <v>58</v>
      </c>
      <c r="E50" s="18">
        <v>24.7</v>
      </c>
      <c r="F50" s="19" t="s">
        <v>22</v>
      </c>
      <c r="G50" s="16" t="s">
        <v>23</v>
      </c>
    </row>
    <row r="51" ht="20" customHeight="1" spans="1:7" x14ac:dyDescent="0.25">
      <c r="A51" s="20" t="s">
        <v>35</v>
      </c>
      <c r="B51" s="21" t="s">
        <v>25</v>
      </c>
      <c r="C51" s="21" t="s">
        <v>26</v>
      </c>
      <c r="D51" s="21" t="s">
        <v>27</v>
      </c>
      <c r="E51" s="22" t="s">
        <v>23</v>
      </c>
      <c r="F51" s="20" t="s">
        <v>27</v>
      </c>
      <c r="G51" s="20" t="s">
        <v>27</v>
      </c>
    </row>
    <row r="52" ht="22" customHeight="1" spans="1:7" x14ac:dyDescent="0.25">
      <c r="A52" s="16" t="s">
        <v>36</v>
      </c>
      <c r="B52" s="17" t="s">
        <v>56</v>
      </c>
      <c r="C52" s="17" t="s">
        <v>73</v>
      </c>
      <c r="D52" s="17" t="s">
        <v>58</v>
      </c>
      <c r="E52" s="18">
        <v>18.9</v>
      </c>
      <c r="F52" s="19" t="s">
        <v>22</v>
      </c>
      <c r="G52" s="16" t="s">
        <v>23</v>
      </c>
    </row>
    <row r="53" ht="24" customHeight="1" spans="1:7" x14ac:dyDescent="0.25">
      <c r="A53" s="23" t="s">
        <v>38</v>
      </c>
      <c r="B53" s="23" t="s">
        <v>39</v>
      </c>
      <c r="C53" s="24" t="s">
        <v>40</v>
      </c>
      <c r="D53" s="24" t="s">
        <v>41</v>
      </c>
      <c r="E53" s="25">
        <f>SUM(E46,E48,E50,E52)</f>
        <v>68.1</v>
      </c>
      <c r="F53" s="23" t="str">
        <f>ROUND(E53/60, 1) &amp; " Saat"</f>
        <v>1.1 Saat</v>
      </c>
      <c r="G53" s="23" t="str">
        <f>COUNTIF(G46:G52, "X") &amp; "/4"</f>
        <v>0/4</v>
      </c>
    </row>
    <row r="54" ht="22" customHeight="1" spans="1:7" x14ac:dyDescent="0.25">
      <c r="A54" s="15" t="s">
        <v>74</v>
      </c>
      <c r="B54" s="15"/>
      <c r="C54" s="15"/>
      <c r="D54" s="15"/>
      <c r="E54" s="15"/>
      <c r="F54" s="15"/>
      <c r="G54" s="15"/>
    </row>
    <row r="55" ht="22" customHeight="1" spans="1:7" x14ac:dyDescent="0.25">
      <c r="A55" s="16" t="s">
        <v>18</v>
      </c>
      <c r="B55" s="17" t="s">
        <v>47</v>
      </c>
      <c r="C55" s="17" t="s">
        <v>75</v>
      </c>
      <c r="D55" s="17" t="s">
        <v>49</v>
      </c>
      <c r="E55" s="18">
        <v>28.1</v>
      </c>
      <c r="F55" s="19" t="s">
        <v>22</v>
      </c>
      <c r="G55" s="16" t="s">
        <v>23</v>
      </c>
    </row>
    <row r="56" ht="20" customHeight="1" spans="1:7" x14ac:dyDescent="0.25">
      <c r="A56" s="20" t="s">
        <v>24</v>
      </c>
      <c r="B56" s="21" t="s">
        <v>25</v>
      </c>
      <c r="C56" s="21" t="s">
        <v>26</v>
      </c>
      <c r="D56" s="21" t="s">
        <v>27</v>
      </c>
      <c r="E56" s="22" t="s">
        <v>23</v>
      </c>
      <c r="F56" s="20" t="s">
        <v>27</v>
      </c>
      <c r="G56" s="20" t="s">
        <v>27</v>
      </c>
    </row>
    <row r="57" ht="22" customHeight="1" spans="1:7" x14ac:dyDescent="0.25">
      <c r="A57" s="16" t="s">
        <v>28</v>
      </c>
      <c r="B57" s="17" t="s">
        <v>47</v>
      </c>
      <c r="C57" s="17" t="s">
        <v>76</v>
      </c>
      <c r="D57" s="17" t="s">
        <v>49</v>
      </c>
      <c r="E57" s="18">
        <v>33.1</v>
      </c>
      <c r="F57" s="19" t="s">
        <v>22</v>
      </c>
      <c r="G57" s="16" t="s">
        <v>23</v>
      </c>
    </row>
    <row r="58" ht="20" customHeight="1" spans="1:7" x14ac:dyDescent="0.25">
      <c r="A58" s="20" t="s">
        <v>30</v>
      </c>
      <c r="B58" s="21" t="s">
        <v>25</v>
      </c>
      <c r="C58" s="21" t="s">
        <v>26</v>
      </c>
      <c r="D58" s="21" t="s">
        <v>27</v>
      </c>
      <c r="E58" s="22" t="s">
        <v>23</v>
      </c>
      <c r="F58" s="20" t="s">
        <v>27</v>
      </c>
      <c r="G58" s="20" t="s">
        <v>27</v>
      </c>
    </row>
    <row r="59" ht="22" customHeight="1" spans="1:7" x14ac:dyDescent="0.25">
      <c r="A59" s="16" t="s">
        <v>31</v>
      </c>
      <c r="B59" s="17" t="s">
        <v>52</v>
      </c>
      <c r="C59" s="17" t="s">
        <v>77</v>
      </c>
      <c r="D59" s="17" t="s">
        <v>54</v>
      </c>
      <c r="E59" s="18">
        <v>45</v>
      </c>
      <c r="F59" s="19" t="s">
        <v>22</v>
      </c>
      <c r="G59" s="16" t="s">
        <v>23</v>
      </c>
    </row>
    <row r="60" ht="20" customHeight="1" spans="1:7" x14ac:dyDescent="0.25">
      <c r="A60" s="20" t="s">
        <v>35</v>
      </c>
      <c r="B60" s="21" t="s">
        <v>25</v>
      </c>
      <c r="C60" s="21" t="s">
        <v>26</v>
      </c>
      <c r="D60" s="21" t="s">
        <v>27</v>
      </c>
      <c r="E60" s="22" t="s">
        <v>23</v>
      </c>
      <c r="F60" s="20" t="s">
        <v>27</v>
      </c>
      <c r="G60" s="20" t="s">
        <v>27</v>
      </c>
    </row>
    <row r="61" ht="22" customHeight="1" spans="1:7" x14ac:dyDescent="0.25">
      <c r="A61" s="16" t="s">
        <v>36</v>
      </c>
      <c r="B61" s="17" t="s">
        <v>52</v>
      </c>
      <c r="C61" s="17" t="s">
        <v>78</v>
      </c>
      <c r="D61" s="17" t="s">
        <v>54</v>
      </c>
      <c r="E61" s="18">
        <v>34.6</v>
      </c>
      <c r="F61" s="19" t="s">
        <v>22</v>
      </c>
      <c r="G61" s="16" t="s">
        <v>23</v>
      </c>
    </row>
    <row r="62" ht="24" customHeight="1" spans="1:7" x14ac:dyDescent="0.25">
      <c r="A62" s="23" t="s">
        <v>38</v>
      </c>
      <c r="B62" s="23" t="s">
        <v>39</v>
      </c>
      <c r="C62" s="24" t="s">
        <v>40</v>
      </c>
      <c r="D62" s="24" t="s">
        <v>41</v>
      </c>
      <c r="E62" s="25">
        <f>SUM(E55,E57,E59,E61)</f>
        <v>140.8</v>
      </c>
      <c r="F62" s="23" t="str">
        <f>ROUND(E62/60, 1) &amp; " Saat"</f>
        <v>2.3 Saat</v>
      </c>
      <c r="G62" s="23" t="str">
        <f>COUNTIF(G55:G61, "X") &amp; "/4"</f>
        <v>0/4</v>
      </c>
    </row>
    <row r="63" ht="28" customHeight="1" spans="1:7" x14ac:dyDescent="0.25">
      <c r="A63" s="26" t="s">
        <v>79</v>
      </c>
      <c r="B63" s="26"/>
      <c r="C63" s="26"/>
      <c r="D63" s="26"/>
      <c r="E63" s="26"/>
      <c r="F63" s="26"/>
      <c r="G63" s="26"/>
    </row>
    <row r="64" ht="8" customHeight="1" x14ac:dyDescent="0.25"/>
    <row r="65" ht="25" customHeight="1" spans="1:7" x14ac:dyDescent="0.25">
      <c r="A65" s="14" t="s">
        <v>80</v>
      </c>
      <c r="B65" s="14"/>
      <c r="C65" s="14"/>
      <c r="D65" s="14"/>
      <c r="E65" s="14"/>
      <c r="F65" s="14"/>
      <c r="G65" s="14"/>
    </row>
    <row r="66" ht="22" customHeight="1" spans="1:7" x14ac:dyDescent="0.25">
      <c r="A66" s="15" t="s">
        <v>17</v>
      </c>
      <c r="B66" s="15"/>
      <c r="C66" s="15"/>
      <c r="D66" s="15"/>
      <c r="E66" s="15"/>
      <c r="F66" s="15"/>
      <c r="G66" s="15"/>
    </row>
    <row r="67" ht="22" customHeight="1" spans="1:7" x14ac:dyDescent="0.25">
      <c r="A67" s="16" t="s">
        <v>18</v>
      </c>
      <c r="B67" s="17" t="s">
        <v>19</v>
      </c>
      <c r="C67" s="17" t="s">
        <v>81</v>
      </c>
      <c r="D67" s="17" t="s">
        <v>21</v>
      </c>
      <c r="E67" s="18">
        <v>31.9</v>
      </c>
      <c r="F67" s="19" t="s">
        <v>22</v>
      </c>
      <c r="G67" s="16" t="s">
        <v>23</v>
      </c>
    </row>
    <row r="68" ht="20" customHeight="1" spans="1:7" x14ac:dyDescent="0.25">
      <c r="A68" s="20" t="s">
        <v>24</v>
      </c>
      <c r="B68" s="21" t="s">
        <v>25</v>
      </c>
      <c r="C68" s="21" t="s">
        <v>26</v>
      </c>
      <c r="D68" s="21" t="s">
        <v>27</v>
      </c>
      <c r="E68" s="22" t="s">
        <v>23</v>
      </c>
      <c r="F68" s="20" t="s">
        <v>27</v>
      </c>
      <c r="G68" s="20" t="s">
        <v>27</v>
      </c>
    </row>
    <row r="69" ht="22" customHeight="1" spans="1:7" x14ac:dyDescent="0.25">
      <c r="A69" s="16" t="s">
        <v>28</v>
      </c>
      <c r="B69" s="17" t="s">
        <v>19</v>
      </c>
      <c r="C69" s="17" t="s">
        <v>82</v>
      </c>
      <c r="D69" s="17" t="s">
        <v>21</v>
      </c>
      <c r="E69" s="18">
        <v>34.5</v>
      </c>
      <c r="F69" s="19" t="s">
        <v>22</v>
      </c>
      <c r="G69" s="16" t="s">
        <v>23</v>
      </c>
    </row>
    <row r="70" ht="20" customHeight="1" spans="1:7" x14ac:dyDescent="0.25">
      <c r="A70" s="20" t="s">
        <v>30</v>
      </c>
      <c r="B70" s="21" t="s">
        <v>25</v>
      </c>
      <c r="C70" s="21" t="s">
        <v>26</v>
      </c>
      <c r="D70" s="21" t="s">
        <v>27</v>
      </c>
      <c r="E70" s="22" t="s">
        <v>23</v>
      </c>
      <c r="F70" s="20" t="s">
        <v>27</v>
      </c>
      <c r="G70" s="20" t="s">
        <v>27</v>
      </c>
    </row>
    <row r="71" ht="22" customHeight="1" spans="1:7" x14ac:dyDescent="0.25">
      <c r="A71" s="16" t="s">
        <v>31</v>
      </c>
      <c r="B71" s="17" t="s">
        <v>32</v>
      </c>
      <c r="C71" s="17" t="s">
        <v>83</v>
      </c>
      <c r="D71" s="17" t="s">
        <v>34</v>
      </c>
      <c r="E71" s="18">
        <v>43.5</v>
      </c>
      <c r="F71" s="19" t="s">
        <v>22</v>
      </c>
      <c r="G71" s="16" t="s">
        <v>23</v>
      </c>
    </row>
    <row r="72" ht="20" customHeight="1" spans="1:7" x14ac:dyDescent="0.25">
      <c r="A72" s="20" t="s">
        <v>35</v>
      </c>
      <c r="B72" s="21" t="s">
        <v>25</v>
      </c>
      <c r="C72" s="21" t="s">
        <v>26</v>
      </c>
      <c r="D72" s="21" t="s">
        <v>27</v>
      </c>
      <c r="E72" s="22" t="s">
        <v>23</v>
      </c>
      <c r="F72" s="20" t="s">
        <v>27</v>
      </c>
      <c r="G72" s="20" t="s">
        <v>27</v>
      </c>
    </row>
    <row r="73" ht="22" customHeight="1" spans="1:7" x14ac:dyDescent="0.25">
      <c r="A73" s="16" t="s">
        <v>36</v>
      </c>
      <c r="B73" s="17" t="s">
        <v>32</v>
      </c>
      <c r="C73" s="17" t="s">
        <v>84</v>
      </c>
      <c r="D73" s="17" t="s">
        <v>34</v>
      </c>
      <c r="E73" s="18">
        <v>28.4</v>
      </c>
      <c r="F73" s="19" t="s">
        <v>22</v>
      </c>
      <c r="G73" s="16" t="s">
        <v>23</v>
      </c>
    </row>
    <row r="74" ht="24" customHeight="1" spans="1:7" x14ac:dyDescent="0.25">
      <c r="A74" s="23" t="s">
        <v>38</v>
      </c>
      <c r="B74" s="23" t="s">
        <v>39</v>
      </c>
      <c r="C74" s="24" t="s">
        <v>40</v>
      </c>
      <c r="D74" s="24" t="s">
        <v>41</v>
      </c>
      <c r="E74" s="25">
        <f>SUM(E67,E69,E71,E73)</f>
        <v>138.3</v>
      </c>
      <c r="F74" s="23" t="str">
        <f>ROUND(E74/60, 1) &amp; " Saat"</f>
        <v>2.3 Saat</v>
      </c>
      <c r="G74" s="23" t="str">
        <f>COUNTIF(G67:G73, "X") &amp; "/4"</f>
        <v>0/4</v>
      </c>
    </row>
    <row r="75" ht="22" customHeight="1" spans="1:7" x14ac:dyDescent="0.25">
      <c r="A75" s="15" t="s">
        <v>42</v>
      </c>
      <c r="B75" s="15"/>
      <c r="C75" s="15"/>
      <c r="D75" s="15"/>
      <c r="E75" s="15"/>
      <c r="F75" s="15"/>
      <c r="G75" s="15"/>
    </row>
    <row r="76" ht="22" customHeight="1" spans="1:7" x14ac:dyDescent="0.25">
      <c r="A76" s="16" t="s">
        <v>18</v>
      </c>
      <c r="B76" s="17" t="s">
        <v>43</v>
      </c>
      <c r="C76" s="17" t="s">
        <v>85</v>
      </c>
      <c r="D76" s="17" t="s">
        <v>45</v>
      </c>
      <c r="E76" s="18">
        <v>60.5</v>
      </c>
      <c r="F76" s="19" t="s">
        <v>22</v>
      </c>
      <c r="G76" s="16" t="s">
        <v>23</v>
      </c>
    </row>
    <row r="77" ht="20" customHeight="1" spans="1:7" x14ac:dyDescent="0.25">
      <c r="A77" s="20" t="s">
        <v>24</v>
      </c>
      <c r="B77" s="21" t="s">
        <v>25</v>
      </c>
      <c r="C77" s="21" t="s">
        <v>26</v>
      </c>
      <c r="D77" s="21" t="s">
        <v>27</v>
      </c>
      <c r="E77" s="22" t="s">
        <v>23</v>
      </c>
      <c r="F77" s="20" t="s">
        <v>27</v>
      </c>
      <c r="G77" s="20" t="s">
        <v>27</v>
      </c>
    </row>
    <row r="78" ht="22" customHeight="1" spans="1:7" x14ac:dyDescent="0.25">
      <c r="A78" s="16" t="s">
        <v>28</v>
      </c>
      <c r="B78" s="17" t="s">
        <v>43</v>
      </c>
      <c r="C78" s="17" t="s">
        <v>86</v>
      </c>
      <c r="D78" s="17" t="s">
        <v>45</v>
      </c>
      <c r="E78" s="18">
        <v>46.2</v>
      </c>
      <c r="F78" s="19" t="s">
        <v>22</v>
      </c>
      <c r="G78" s="16" t="s">
        <v>23</v>
      </c>
    </row>
    <row r="79" ht="20" customHeight="1" spans="1:7" x14ac:dyDescent="0.25">
      <c r="A79" s="20" t="s">
        <v>30</v>
      </c>
      <c r="B79" s="21" t="s">
        <v>25</v>
      </c>
      <c r="C79" s="21" t="s">
        <v>26</v>
      </c>
      <c r="D79" s="21" t="s">
        <v>27</v>
      </c>
      <c r="E79" s="22" t="s">
        <v>23</v>
      </c>
      <c r="F79" s="20" t="s">
        <v>27</v>
      </c>
      <c r="G79" s="20" t="s">
        <v>27</v>
      </c>
    </row>
    <row r="80" ht="22" customHeight="1" spans="1:7" x14ac:dyDescent="0.25">
      <c r="A80" s="16" t="s">
        <v>31</v>
      </c>
      <c r="B80" s="17" t="s">
        <v>47</v>
      </c>
      <c r="C80" s="17" t="s">
        <v>87</v>
      </c>
      <c r="D80" s="17" t="s">
        <v>49</v>
      </c>
      <c r="E80" s="18">
        <v>27.5</v>
      </c>
      <c r="F80" s="19" t="s">
        <v>22</v>
      </c>
      <c r="G80" s="16" t="s">
        <v>23</v>
      </c>
    </row>
    <row r="81" ht="20" customHeight="1" spans="1:7" x14ac:dyDescent="0.25">
      <c r="A81" s="20" t="s">
        <v>35</v>
      </c>
      <c r="B81" s="21" t="s">
        <v>25</v>
      </c>
      <c r="C81" s="21" t="s">
        <v>26</v>
      </c>
      <c r="D81" s="21" t="s">
        <v>27</v>
      </c>
      <c r="E81" s="22" t="s">
        <v>23</v>
      </c>
      <c r="F81" s="20" t="s">
        <v>27</v>
      </c>
      <c r="G81" s="20" t="s">
        <v>27</v>
      </c>
    </row>
    <row r="82" ht="22" customHeight="1" spans="1:7" x14ac:dyDescent="0.25">
      <c r="A82" s="16" t="s">
        <v>36</v>
      </c>
      <c r="B82" s="17" t="s">
        <v>47</v>
      </c>
      <c r="C82" s="17" t="s">
        <v>88</v>
      </c>
      <c r="D82" s="17" t="s">
        <v>49</v>
      </c>
      <c r="E82" s="18">
        <v>44</v>
      </c>
      <c r="F82" s="19" t="s">
        <v>22</v>
      </c>
      <c r="G82" s="16" t="s">
        <v>23</v>
      </c>
    </row>
    <row r="83" ht="24" customHeight="1" spans="1:7" x14ac:dyDescent="0.25">
      <c r="A83" s="23" t="s">
        <v>38</v>
      </c>
      <c r="B83" s="23" t="s">
        <v>39</v>
      </c>
      <c r="C83" s="24" t="s">
        <v>40</v>
      </c>
      <c r="D83" s="24" t="s">
        <v>41</v>
      </c>
      <c r="E83" s="25">
        <f>SUM(E76,E78,E80,E82)</f>
        <v>178.2</v>
      </c>
      <c r="F83" s="23" t="str">
        <f>ROUND(E83/60, 1) &amp; " Saat"</f>
        <v>3.0 Saat</v>
      </c>
      <c r="G83" s="23" t="str">
        <f>COUNTIF(G76:G82, "X") &amp; "/4"</f>
        <v>0/4</v>
      </c>
    </row>
    <row r="84" ht="22" customHeight="1" spans="1:7" x14ac:dyDescent="0.25">
      <c r="A84" s="15" t="s">
        <v>51</v>
      </c>
      <c r="B84" s="15"/>
      <c r="C84" s="15"/>
      <c r="D84" s="15"/>
      <c r="E84" s="15"/>
      <c r="F84" s="15"/>
      <c r="G84" s="15"/>
    </row>
    <row r="85" ht="22" customHeight="1" spans="1:7" x14ac:dyDescent="0.25">
      <c r="A85" s="16" t="s">
        <v>18</v>
      </c>
      <c r="B85" s="17" t="s">
        <v>52</v>
      </c>
      <c r="C85" s="17" t="s">
        <v>89</v>
      </c>
      <c r="D85" s="17" t="s">
        <v>54</v>
      </c>
      <c r="E85" s="18">
        <v>14.5</v>
      </c>
      <c r="F85" s="19" t="s">
        <v>22</v>
      </c>
      <c r="G85" s="16" t="s">
        <v>23</v>
      </c>
    </row>
    <row r="86" ht="20" customHeight="1" spans="1:7" x14ac:dyDescent="0.25">
      <c r="A86" s="20" t="s">
        <v>24</v>
      </c>
      <c r="B86" s="21" t="s">
        <v>25</v>
      </c>
      <c r="C86" s="21" t="s">
        <v>26</v>
      </c>
      <c r="D86" s="21" t="s">
        <v>27</v>
      </c>
      <c r="E86" s="22" t="s">
        <v>23</v>
      </c>
      <c r="F86" s="20" t="s">
        <v>27</v>
      </c>
      <c r="G86" s="20" t="s">
        <v>27</v>
      </c>
    </row>
    <row r="87" ht="22" customHeight="1" spans="1:7" x14ac:dyDescent="0.25">
      <c r="A87" s="16" t="s">
        <v>28</v>
      </c>
      <c r="B87" s="17" t="s">
        <v>52</v>
      </c>
      <c r="C87" s="17" t="s">
        <v>90</v>
      </c>
      <c r="D87" s="17" t="s">
        <v>54</v>
      </c>
      <c r="E87" s="18">
        <v>31.9</v>
      </c>
      <c r="F87" s="19" t="s">
        <v>22</v>
      </c>
      <c r="G87" s="16" t="s">
        <v>23</v>
      </c>
    </row>
    <row r="88" ht="20" customHeight="1" spans="1:7" x14ac:dyDescent="0.25">
      <c r="A88" s="20" t="s">
        <v>30</v>
      </c>
      <c r="B88" s="21" t="s">
        <v>25</v>
      </c>
      <c r="C88" s="21" t="s">
        <v>26</v>
      </c>
      <c r="D88" s="21" t="s">
        <v>27</v>
      </c>
      <c r="E88" s="22" t="s">
        <v>23</v>
      </c>
      <c r="F88" s="20" t="s">
        <v>27</v>
      </c>
      <c r="G88" s="20" t="s">
        <v>27</v>
      </c>
    </row>
    <row r="89" ht="22" customHeight="1" spans="1:7" x14ac:dyDescent="0.25">
      <c r="A89" s="16" t="s">
        <v>31</v>
      </c>
      <c r="B89" s="17" t="s">
        <v>56</v>
      </c>
      <c r="C89" s="17" t="s">
        <v>91</v>
      </c>
      <c r="D89" s="17" t="s">
        <v>58</v>
      </c>
      <c r="E89" s="18">
        <v>48.6</v>
      </c>
      <c r="F89" s="19" t="s">
        <v>22</v>
      </c>
      <c r="G89" s="16" t="s">
        <v>23</v>
      </c>
    </row>
    <row r="90" ht="20" customHeight="1" spans="1:7" x14ac:dyDescent="0.25">
      <c r="A90" s="20" t="s">
        <v>35</v>
      </c>
      <c r="B90" s="21" t="s">
        <v>25</v>
      </c>
      <c r="C90" s="21" t="s">
        <v>26</v>
      </c>
      <c r="D90" s="21" t="s">
        <v>27</v>
      </c>
      <c r="E90" s="22" t="s">
        <v>23</v>
      </c>
      <c r="F90" s="20" t="s">
        <v>27</v>
      </c>
      <c r="G90" s="20" t="s">
        <v>27</v>
      </c>
    </row>
    <row r="91" ht="22" customHeight="1" spans="1:7" x14ac:dyDescent="0.25">
      <c r="A91" s="16" t="s">
        <v>36</v>
      </c>
      <c r="B91" s="17" t="s">
        <v>56</v>
      </c>
      <c r="C91" s="17" t="s">
        <v>92</v>
      </c>
      <c r="D91" s="17" t="s">
        <v>58</v>
      </c>
      <c r="E91" s="18">
        <v>31.3</v>
      </c>
      <c r="F91" s="19" t="s">
        <v>22</v>
      </c>
      <c r="G91" s="16" t="s">
        <v>23</v>
      </c>
    </row>
    <row r="92" ht="24" customHeight="1" spans="1:7" x14ac:dyDescent="0.25">
      <c r="A92" s="23" t="s">
        <v>38</v>
      </c>
      <c r="B92" s="23" t="s">
        <v>39</v>
      </c>
      <c r="C92" s="24" t="s">
        <v>40</v>
      </c>
      <c r="D92" s="24" t="s">
        <v>41</v>
      </c>
      <c r="E92" s="25">
        <f>SUM(E85,E87,E89,E91)</f>
        <v>126.3</v>
      </c>
      <c r="F92" s="23" t="str">
        <f>ROUND(E92/60, 1) &amp; " Saat"</f>
        <v>2.1 Saat</v>
      </c>
      <c r="G92" s="23" t="str">
        <f>COUNTIF(G85:G91, "X") &amp; "/4"</f>
        <v>0/4</v>
      </c>
    </row>
    <row r="93" ht="22" customHeight="1" spans="1:7" x14ac:dyDescent="0.25">
      <c r="A93" s="15" t="s">
        <v>60</v>
      </c>
      <c r="B93" s="15"/>
      <c r="C93" s="15"/>
      <c r="D93" s="15"/>
      <c r="E93" s="15"/>
      <c r="F93" s="15"/>
      <c r="G93" s="15"/>
    </row>
    <row r="94" ht="22" customHeight="1" spans="1:7" x14ac:dyDescent="0.25">
      <c r="A94" s="16" t="s">
        <v>18</v>
      </c>
      <c r="B94" s="17" t="s">
        <v>43</v>
      </c>
      <c r="C94" s="17" t="s">
        <v>93</v>
      </c>
      <c r="D94" s="17" t="s">
        <v>45</v>
      </c>
      <c r="E94" s="18">
        <v>39.2</v>
      </c>
      <c r="F94" s="19" t="s">
        <v>22</v>
      </c>
      <c r="G94" s="16" t="s">
        <v>23</v>
      </c>
    </row>
    <row r="95" ht="20" customHeight="1" spans="1:7" x14ac:dyDescent="0.25">
      <c r="A95" s="20" t="s">
        <v>24</v>
      </c>
      <c r="B95" s="21" t="s">
        <v>25</v>
      </c>
      <c r="C95" s="21" t="s">
        <v>26</v>
      </c>
      <c r="D95" s="21" t="s">
        <v>27</v>
      </c>
      <c r="E95" s="22" t="s">
        <v>23</v>
      </c>
      <c r="F95" s="20" t="s">
        <v>27</v>
      </c>
      <c r="G95" s="20" t="s">
        <v>27</v>
      </c>
    </row>
    <row r="96" ht="22" customHeight="1" spans="1:7" x14ac:dyDescent="0.25">
      <c r="A96" s="16" t="s">
        <v>28</v>
      </c>
      <c r="B96" s="17" t="s">
        <v>43</v>
      </c>
      <c r="C96" s="17" t="s">
        <v>94</v>
      </c>
      <c r="D96" s="17" t="s">
        <v>45</v>
      </c>
      <c r="E96" s="18">
        <v>32.3</v>
      </c>
      <c r="F96" s="19" t="s">
        <v>22</v>
      </c>
      <c r="G96" s="16" t="s">
        <v>23</v>
      </c>
    </row>
    <row r="97" ht="20" customHeight="1" spans="1:7" x14ac:dyDescent="0.25">
      <c r="A97" s="20" t="s">
        <v>30</v>
      </c>
      <c r="B97" s="21" t="s">
        <v>25</v>
      </c>
      <c r="C97" s="21" t="s">
        <v>26</v>
      </c>
      <c r="D97" s="21" t="s">
        <v>27</v>
      </c>
      <c r="E97" s="22" t="s">
        <v>23</v>
      </c>
      <c r="F97" s="20" t="s">
        <v>27</v>
      </c>
      <c r="G97" s="20" t="s">
        <v>27</v>
      </c>
    </row>
    <row r="98" ht="22" customHeight="1" spans="1:7" x14ac:dyDescent="0.25">
      <c r="A98" s="16" t="s">
        <v>31</v>
      </c>
      <c r="B98" s="17" t="s">
        <v>63</v>
      </c>
      <c r="C98" s="17" t="s">
        <v>95</v>
      </c>
      <c r="D98" s="17" t="s">
        <v>65</v>
      </c>
      <c r="E98" s="18">
        <v>27.9</v>
      </c>
      <c r="F98" s="19" t="s">
        <v>22</v>
      </c>
      <c r="G98" s="16" t="s">
        <v>23</v>
      </c>
    </row>
    <row r="99" ht="20" customHeight="1" spans="1:7" x14ac:dyDescent="0.25">
      <c r="A99" s="20" t="s">
        <v>35</v>
      </c>
      <c r="B99" s="21" t="s">
        <v>25</v>
      </c>
      <c r="C99" s="21" t="s">
        <v>26</v>
      </c>
      <c r="D99" s="21" t="s">
        <v>27</v>
      </c>
      <c r="E99" s="22" t="s">
        <v>23</v>
      </c>
      <c r="F99" s="20" t="s">
        <v>27</v>
      </c>
      <c r="G99" s="20" t="s">
        <v>27</v>
      </c>
    </row>
    <row r="100" ht="22" customHeight="1" spans="1:7" x14ac:dyDescent="0.25">
      <c r="A100" s="16" t="s">
        <v>36</v>
      </c>
      <c r="B100" s="17" t="s">
        <v>63</v>
      </c>
      <c r="C100" s="17" t="s">
        <v>96</v>
      </c>
      <c r="D100" s="17" t="s">
        <v>65</v>
      </c>
      <c r="E100" s="18">
        <v>17.2</v>
      </c>
      <c r="F100" s="19" t="s">
        <v>22</v>
      </c>
      <c r="G100" s="16" t="s">
        <v>23</v>
      </c>
    </row>
    <row r="101" ht="24" customHeight="1" spans="1:7" x14ac:dyDescent="0.25">
      <c r="A101" s="23" t="s">
        <v>38</v>
      </c>
      <c r="B101" s="23" t="s">
        <v>39</v>
      </c>
      <c r="C101" s="24" t="s">
        <v>40</v>
      </c>
      <c r="D101" s="24" t="s">
        <v>41</v>
      </c>
      <c r="E101" s="25">
        <f>SUM(E94,E96,E98,E100)</f>
        <v>116.6</v>
      </c>
      <c r="F101" s="23" t="str">
        <f>ROUND(E101/60, 1) &amp; " Saat"</f>
        <v>1.9 Saat</v>
      </c>
      <c r="G101" s="23" t="str">
        <f>COUNTIF(G94:G100, "X") &amp; "/4"</f>
        <v>0/4</v>
      </c>
    </row>
    <row r="102" ht="22" customHeight="1" spans="1:7" x14ac:dyDescent="0.25">
      <c r="A102" s="15" t="s">
        <v>67</v>
      </c>
      <c r="B102" s="15"/>
      <c r="C102" s="15"/>
      <c r="D102" s="15"/>
      <c r="E102" s="15"/>
      <c r="F102" s="15"/>
      <c r="G102" s="15"/>
    </row>
    <row r="103" ht="22" customHeight="1" spans="1:7" x14ac:dyDescent="0.25">
      <c r="A103" s="16" t="s">
        <v>18</v>
      </c>
      <c r="B103" s="17" t="s">
        <v>68</v>
      </c>
      <c r="C103" s="17" t="s">
        <v>97</v>
      </c>
      <c r="D103" s="17" t="s">
        <v>70</v>
      </c>
      <c r="E103" s="18">
        <v>87.5</v>
      </c>
      <c r="F103" s="19" t="s">
        <v>22</v>
      </c>
      <c r="G103" s="16" t="s">
        <v>23</v>
      </c>
    </row>
    <row r="104" ht="20" customHeight="1" spans="1:7" x14ac:dyDescent="0.25">
      <c r="A104" s="20" t="s">
        <v>24</v>
      </c>
      <c r="B104" s="21" t="s">
        <v>25</v>
      </c>
      <c r="C104" s="21" t="s">
        <v>26</v>
      </c>
      <c r="D104" s="21" t="s">
        <v>27</v>
      </c>
      <c r="E104" s="22" t="s">
        <v>23</v>
      </c>
      <c r="F104" s="20" t="s">
        <v>27</v>
      </c>
      <c r="G104" s="20" t="s">
        <v>27</v>
      </c>
    </row>
    <row r="105" ht="22" customHeight="1" spans="1:7" x14ac:dyDescent="0.25">
      <c r="A105" s="16" t="s">
        <v>28</v>
      </c>
      <c r="B105" s="17" t="s">
        <v>68</v>
      </c>
      <c r="C105" s="17" t="s">
        <v>98</v>
      </c>
      <c r="D105" s="17" t="s">
        <v>70</v>
      </c>
      <c r="E105" s="18">
        <v>45</v>
      </c>
      <c r="F105" s="19" t="s">
        <v>22</v>
      </c>
      <c r="G105" s="16" t="s">
        <v>23</v>
      </c>
    </row>
    <row r="106" ht="20" customHeight="1" spans="1:7" x14ac:dyDescent="0.25">
      <c r="A106" s="20" t="s">
        <v>30</v>
      </c>
      <c r="B106" s="21" t="s">
        <v>25</v>
      </c>
      <c r="C106" s="21" t="s">
        <v>26</v>
      </c>
      <c r="D106" s="21" t="s">
        <v>27</v>
      </c>
      <c r="E106" s="22" t="s">
        <v>23</v>
      </c>
      <c r="F106" s="20" t="s">
        <v>27</v>
      </c>
      <c r="G106" s="20" t="s">
        <v>27</v>
      </c>
    </row>
    <row r="107" ht="22" customHeight="1" spans="1:7" x14ac:dyDescent="0.25">
      <c r="A107" s="16" t="s">
        <v>31</v>
      </c>
      <c r="B107" s="17" t="s">
        <v>56</v>
      </c>
      <c r="C107" s="17" t="s">
        <v>99</v>
      </c>
      <c r="D107" s="17" t="s">
        <v>58</v>
      </c>
      <c r="E107" s="18">
        <v>31.1</v>
      </c>
      <c r="F107" s="19" t="s">
        <v>22</v>
      </c>
      <c r="G107" s="16" t="s">
        <v>23</v>
      </c>
    </row>
    <row r="108" ht="20" customHeight="1" spans="1:7" x14ac:dyDescent="0.25">
      <c r="A108" s="20" t="s">
        <v>35</v>
      </c>
      <c r="B108" s="21" t="s">
        <v>25</v>
      </c>
      <c r="C108" s="21" t="s">
        <v>26</v>
      </c>
      <c r="D108" s="21" t="s">
        <v>27</v>
      </c>
      <c r="E108" s="22" t="s">
        <v>23</v>
      </c>
      <c r="F108" s="20" t="s">
        <v>27</v>
      </c>
      <c r="G108" s="20" t="s">
        <v>27</v>
      </c>
    </row>
    <row r="109" ht="22" customHeight="1" spans="1:7" x14ac:dyDescent="0.25">
      <c r="A109" s="16" t="s">
        <v>36</v>
      </c>
      <c r="B109" s="17" t="s">
        <v>56</v>
      </c>
      <c r="C109" s="17" t="s">
        <v>100</v>
      </c>
      <c r="D109" s="17" t="s">
        <v>58</v>
      </c>
      <c r="E109" s="18">
        <v>29.6</v>
      </c>
      <c r="F109" s="19" t="s">
        <v>22</v>
      </c>
      <c r="G109" s="16" t="s">
        <v>23</v>
      </c>
    </row>
    <row r="110" ht="24" customHeight="1" spans="1:7" x14ac:dyDescent="0.25">
      <c r="A110" s="23" t="s">
        <v>38</v>
      </c>
      <c r="B110" s="23" t="s">
        <v>39</v>
      </c>
      <c r="C110" s="24" t="s">
        <v>40</v>
      </c>
      <c r="D110" s="24" t="s">
        <v>41</v>
      </c>
      <c r="E110" s="25">
        <f>SUM(E103,E105,E107,E109)</f>
        <v>193.2</v>
      </c>
      <c r="F110" s="23" t="str">
        <f>ROUND(E110/60, 1) &amp; " Saat"</f>
        <v>3.2 Saat</v>
      </c>
      <c r="G110" s="23" t="str">
        <f>COUNTIF(G103:G109, "X") &amp; "/4"</f>
        <v>0/4</v>
      </c>
    </row>
    <row r="111" ht="22" customHeight="1" spans="1:7" x14ac:dyDescent="0.25">
      <c r="A111" s="15" t="s">
        <v>74</v>
      </c>
      <c r="B111" s="15"/>
      <c r="C111" s="15"/>
      <c r="D111" s="15"/>
      <c r="E111" s="15"/>
      <c r="F111" s="15"/>
      <c r="G111" s="15"/>
    </row>
    <row r="112" ht="22" customHeight="1" spans="1:7" x14ac:dyDescent="0.25">
      <c r="A112" s="16" t="s">
        <v>18</v>
      </c>
      <c r="B112" s="17" t="s">
        <v>47</v>
      </c>
      <c r="C112" s="17" t="s">
        <v>101</v>
      </c>
      <c r="D112" s="17" t="s">
        <v>49</v>
      </c>
      <c r="E112" s="18">
        <v>24.2</v>
      </c>
      <c r="F112" s="19" t="s">
        <v>22</v>
      </c>
      <c r="G112" s="16" t="s">
        <v>23</v>
      </c>
    </row>
    <row r="113" ht="20" customHeight="1" spans="1:7" x14ac:dyDescent="0.25">
      <c r="A113" s="20" t="s">
        <v>24</v>
      </c>
      <c r="B113" s="21" t="s">
        <v>25</v>
      </c>
      <c r="C113" s="21" t="s">
        <v>26</v>
      </c>
      <c r="D113" s="21" t="s">
        <v>27</v>
      </c>
      <c r="E113" s="22" t="s">
        <v>23</v>
      </c>
      <c r="F113" s="20" t="s">
        <v>27</v>
      </c>
      <c r="G113" s="20" t="s">
        <v>27</v>
      </c>
    </row>
    <row r="114" ht="22" customHeight="1" spans="1:7" x14ac:dyDescent="0.25">
      <c r="A114" s="16" t="s">
        <v>28</v>
      </c>
      <c r="B114" s="17" t="s">
        <v>47</v>
      </c>
      <c r="C114" s="17" t="s">
        <v>102</v>
      </c>
      <c r="D114" s="17" t="s">
        <v>49</v>
      </c>
      <c r="E114" s="18">
        <v>19.8</v>
      </c>
      <c r="F114" s="19" t="s">
        <v>22</v>
      </c>
      <c r="G114" s="16" t="s">
        <v>23</v>
      </c>
    </row>
    <row r="115" ht="20" customHeight="1" spans="1:7" x14ac:dyDescent="0.25">
      <c r="A115" s="20" t="s">
        <v>30</v>
      </c>
      <c r="B115" s="21" t="s">
        <v>25</v>
      </c>
      <c r="C115" s="21" t="s">
        <v>26</v>
      </c>
      <c r="D115" s="21" t="s">
        <v>27</v>
      </c>
      <c r="E115" s="22" t="s">
        <v>23</v>
      </c>
      <c r="F115" s="20" t="s">
        <v>27</v>
      </c>
      <c r="G115" s="20" t="s">
        <v>27</v>
      </c>
    </row>
    <row r="116" ht="22" customHeight="1" spans="1:7" x14ac:dyDescent="0.25">
      <c r="A116" s="16" t="s">
        <v>31</v>
      </c>
      <c r="B116" s="17" t="s">
        <v>52</v>
      </c>
      <c r="C116" s="17" t="s">
        <v>103</v>
      </c>
      <c r="D116" s="17" t="s">
        <v>54</v>
      </c>
      <c r="E116" s="18">
        <v>10.8</v>
      </c>
      <c r="F116" s="19" t="s">
        <v>22</v>
      </c>
      <c r="G116" s="16" t="s">
        <v>23</v>
      </c>
    </row>
    <row r="117" ht="20" customHeight="1" spans="1:7" x14ac:dyDescent="0.25">
      <c r="A117" s="20" t="s">
        <v>35</v>
      </c>
      <c r="B117" s="21" t="s">
        <v>25</v>
      </c>
      <c r="C117" s="21" t="s">
        <v>26</v>
      </c>
      <c r="D117" s="21" t="s">
        <v>27</v>
      </c>
      <c r="E117" s="22" t="s">
        <v>23</v>
      </c>
      <c r="F117" s="20" t="s">
        <v>27</v>
      </c>
      <c r="G117" s="20" t="s">
        <v>27</v>
      </c>
    </row>
    <row r="118" ht="22" customHeight="1" spans="1:7" x14ac:dyDescent="0.25">
      <c r="A118" s="16" t="s">
        <v>36</v>
      </c>
      <c r="B118" s="17" t="s">
        <v>52</v>
      </c>
      <c r="C118" s="17" t="s">
        <v>104</v>
      </c>
      <c r="D118" s="17" t="s">
        <v>54</v>
      </c>
      <c r="E118" s="18">
        <v>53.6</v>
      </c>
      <c r="F118" s="19" t="s">
        <v>22</v>
      </c>
      <c r="G118" s="16" t="s">
        <v>23</v>
      </c>
    </row>
    <row r="119" ht="24" customHeight="1" spans="1:7" x14ac:dyDescent="0.25">
      <c r="A119" s="23" t="s">
        <v>38</v>
      </c>
      <c r="B119" s="23" t="s">
        <v>39</v>
      </c>
      <c r="C119" s="24" t="s">
        <v>40</v>
      </c>
      <c r="D119" s="24" t="s">
        <v>41</v>
      </c>
      <c r="E119" s="25">
        <f>SUM(E112,E114,E116,E118)</f>
        <v>108.4</v>
      </c>
      <c r="F119" s="23" t="str">
        <f>ROUND(E119/60, 1) &amp; " Saat"</f>
        <v>1.8 Saat</v>
      </c>
      <c r="G119" s="23" t="str">
        <f>COUNTIF(G112:G118, "X") &amp; "/4"</f>
        <v>0/4</v>
      </c>
    </row>
    <row r="120" ht="28" customHeight="1" spans="1:7" x14ac:dyDescent="0.25">
      <c r="A120" s="26" t="s">
        <v>79</v>
      </c>
      <c r="B120" s="26"/>
      <c r="C120" s="26"/>
      <c r="D120" s="26"/>
      <c r="E120" s="26"/>
      <c r="F120" s="26"/>
      <c r="G120" s="26"/>
    </row>
    <row r="121" ht="8" customHeight="1" x14ac:dyDescent="0.25"/>
    <row r="122" ht="25" customHeight="1" spans="1:7" x14ac:dyDescent="0.25">
      <c r="A122" s="14" t="s">
        <v>105</v>
      </c>
      <c r="B122" s="14"/>
      <c r="C122" s="14"/>
      <c r="D122" s="14"/>
      <c r="E122" s="14"/>
      <c r="F122" s="14"/>
      <c r="G122" s="14"/>
    </row>
    <row r="123" ht="22" customHeight="1" spans="1:7" x14ac:dyDescent="0.25">
      <c r="A123" s="15" t="s">
        <v>17</v>
      </c>
      <c r="B123" s="15"/>
      <c r="C123" s="15"/>
      <c r="D123" s="15"/>
      <c r="E123" s="15"/>
      <c r="F123" s="15"/>
      <c r="G123" s="15"/>
    </row>
    <row r="124" ht="22" customHeight="1" spans="1:7" x14ac:dyDescent="0.25">
      <c r="A124" s="16" t="s">
        <v>18</v>
      </c>
      <c r="B124" s="17" t="s">
        <v>19</v>
      </c>
      <c r="C124" s="17" t="s">
        <v>106</v>
      </c>
      <c r="D124" s="17" t="s">
        <v>21</v>
      </c>
      <c r="E124" s="18">
        <v>18.8</v>
      </c>
      <c r="F124" s="19" t="s">
        <v>22</v>
      </c>
      <c r="G124" s="16" t="s">
        <v>23</v>
      </c>
    </row>
    <row r="125" ht="20" customHeight="1" spans="1:7" x14ac:dyDescent="0.25">
      <c r="A125" s="20" t="s">
        <v>24</v>
      </c>
      <c r="B125" s="21" t="s">
        <v>25</v>
      </c>
      <c r="C125" s="21" t="s">
        <v>26</v>
      </c>
      <c r="D125" s="21" t="s">
        <v>27</v>
      </c>
      <c r="E125" s="22" t="s">
        <v>23</v>
      </c>
      <c r="F125" s="20" t="s">
        <v>27</v>
      </c>
      <c r="G125" s="20" t="s">
        <v>27</v>
      </c>
    </row>
    <row r="126" ht="22" customHeight="1" spans="1:7" x14ac:dyDescent="0.25">
      <c r="A126" s="16" t="s">
        <v>28</v>
      </c>
      <c r="B126" s="17" t="s">
        <v>19</v>
      </c>
      <c r="C126" s="17" t="s">
        <v>107</v>
      </c>
      <c r="D126" s="17" t="s">
        <v>21</v>
      </c>
      <c r="E126" s="18">
        <v>9.6</v>
      </c>
      <c r="F126" s="19" t="s">
        <v>22</v>
      </c>
      <c r="G126" s="16" t="s">
        <v>23</v>
      </c>
    </row>
    <row r="127" ht="20" customHeight="1" spans="1:7" x14ac:dyDescent="0.25">
      <c r="A127" s="20" t="s">
        <v>30</v>
      </c>
      <c r="B127" s="21" t="s">
        <v>25</v>
      </c>
      <c r="C127" s="21" t="s">
        <v>26</v>
      </c>
      <c r="D127" s="21" t="s">
        <v>27</v>
      </c>
      <c r="E127" s="22" t="s">
        <v>23</v>
      </c>
      <c r="F127" s="20" t="s">
        <v>27</v>
      </c>
      <c r="G127" s="20" t="s">
        <v>27</v>
      </c>
    </row>
    <row r="128" ht="22" customHeight="1" spans="1:7" x14ac:dyDescent="0.25">
      <c r="A128" s="16" t="s">
        <v>31</v>
      </c>
      <c r="B128" s="17" t="s">
        <v>32</v>
      </c>
      <c r="C128" s="17" t="s">
        <v>108</v>
      </c>
      <c r="D128" s="17" t="s">
        <v>34</v>
      </c>
      <c r="E128" s="18">
        <v>23.9</v>
      </c>
      <c r="F128" s="19" t="s">
        <v>22</v>
      </c>
      <c r="G128" s="16" t="s">
        <v>23</v>
      </c>
    </row>
    <row r="129" ht="20" customHeight="1" spans="1:7" x14ac:dyDescent="0.25">
      <c r="A129" s="20" t="s">
        <v>35</v>
      </c>
      <c r="B129" s="21" t="s">
        <v>25</v>
      </c>
      <c r="C129" s="21" t="s">
        <v>26</v>
      </c>
      <c r="D129" s="21" t="s">
        <v>27</v>
      </c>
      <c r="E129" s="22" t="s">
        <v>23</v>
      </c>
      <c r="F129" s="20" t="s">
        <v>27</v>
      </c>
      <c r="G129" s="20" t="s">
        <v>27</v>
      </c>
    </row>
    <row r="130" ht="22" customHeight="1" spans="1:7" x14ac:dyDescent="0.25">
      <c r="A130" s="16" t="s">
        <v>36</v>
      </c>
      <c r="B130" s="17" t="s">
        <v>32</v>
      </c>
      <c r="C130" s="17" t="s">
        <v>109</v>
      </c>
      <c r="D130" s="17" t="s">
        <v>34</v>
      </c>
      <c r="E130" s="18">
        <v>9.8</v>
      </c>
      <c r="F130" s="19" t="s">
        <v>22</v>
      </c>
      <c r="G130" s="16" t="s">
        <v>23</v>
      </c>
    </row>
    <row r="131" ht="24" customHeight="1" spans="1:7" x14ac:dyDescent="0.25">
      <c r="A131" s="23" t="s">
        <v>38</v>
      </c>
      <c r="B131" s="23" t="s">
        <v>39</v>
      </c>
      <c r="C131" s="24" t="s">
        <v>40</v>
      </c>
      <c r="D131" s="24" t="s">
        <v>41</v>
      </c>
      <c r="E131" s="25">
        <f>SUM(E124,E126,E128,E130)</f>
        <v>62.1</v>
      </c>
      <c r="F131" s="23" t="str">
        <f>ROUND(E131/60, 1) &amp; " Saat"</f>
        <v>1.0 Saat</v>
      </c>
      <c r="G131" s="23" t="str">
        <f>COUNTIF(G124:G130, "X") &amp; "/4"</f>
        <v>0/4</v>
      </c>
    </row>
    <row r="132" ht="22" customHeight="1" spans="1:7" x14ac:dyDescent="0.25">
      <c r="A132" s="15" t="s">
        <v>42</v>
      </c>
      <c r="B132" s="15"/>
      <c r="C132" s="15"/>
      <c r="D132" s="15"/>
      <c r="E132" s="15"/>
      <c r="F132" s="15"/>
      <c r="G132" s="15"/>
    </row>
    <row r="133" ht="22" customHeight="1" spans="1:7" x14ac:dyDescent="0.25">
      <c r="A133" s="16" t="s">
        <v>18</v>
      </c>
      <c r="B133" s="17" t="s">
        <v>43</v>
      </c>
      <c r="C133" s="17" t="s">
        <v>110</v>
      </c>
      <c r="D133" s="17" t="s">
        <v>45</v>
      </c>
      <c r="E133" s="18">
        <v>30.7</v>
      </c>
      <c r="F133" s="19" t="s">
        <v>22</v>
      </c>
      <c r="G133" s="16" t="s">
        <v>23</v>
      </c>
    </row>
    <row r="134" ht="20" customHeight="1" spans="1:7" x14ac:dyDescent="0.25">
      <c r="A134" s="20" t="s">
        <v>24</v>
      </c>
      <c r="B134" s="21" t="s">
        <v>25</v>
      </c>
      <c r="C134" s="21" t="s">
        <v>26</v>
      </c>
      <c r="D134" s="21" t="s">
        <v>27</v>
      </c>
      <c r="E134" s="22" t="s">
        <v>23</v>
      </c>
      <c r="F134" s="20" t="s">
        <v>27</v>
      </c>
      <c r="G134" s="20" t="s">
        <v>27</v>
      </c>
    </row>
    <row r="135" ht="22" customHeight="1" spans="1:7" x14ac:dyDescent="0.25">
      <c r="A135" s="16" t="s">
        <v>28</v>
      </c>
      <c r="B135" s="17" t="s">
        <v>43</v>
      </c>
      <c r="C135" s="17" t="s">
        <v>111</v>
      </c>
      <c r="D135" s="17" t="s">
        <v>45</v>
      </c>
      <c r="E135" s="18">
        <v>46.2</v>
      </c>
      <c r="F135" s="19" t="s">
        <v>22</v>
      </c>
      <c r="G135" s="16" t="s">
        <v>23</v>
      </c>
    </row>
    <row r="136" ht="20" customHeight="1" spans="1:7" x14ac:dyDescent="0.25">
      <c r="A136" s="20" t="s">
        <v>30</v>
      </c>
      <c r="B136" s="21" t="s">
        <v>25</v>
      </c>
      <c r="C136" s="21" t="s">
        <v>26</v>
      </c>
      <c r="D136" s="21" t="s">
        <v>27</v>
      </c>
      <c r="E136" s="22" t="s">
        <v>23</v>
      </c>
      <c r="F136" s="20" t="s">
        <v>27</v>
      </c>
      <c r="G136" s="20" t="s">
        <v>27</v>
      </c>
    </row>
    <row r="137" ht="22" customHeight="1" spans="1:7" x14ac:dyDescent="0.25">
      <c r="A137" s="16" t="s">
        <v>31</v>
      </c>
      <c r="B137" s="17" t="s">
        <v>47</v>
      </c>
      <c r="C137" s="17" t="s">
        <v>112</v>
      </c>
      <c r="D137" s="17" t="s">
        <v>49</v>
      </c>
      <c r="E137" s="18">
        <v>40.8</v>
      </c>
      <c r="F137" s="19" t="s">
        <v>22</v>
      </c>
      <c r="G137" s="16" t="s">
        <v>23</v>
      </c>
    </row>
    <row r="138" ht="20" customHeight="1" spans="1:7" x14ac:dyDescent="0.25">
      <c r="A138" s="20" t="s">
        <v>35</v>
      </c>
      <c r="B138" s="21" t="s">
        <v>25</v>
      </c>
      <c r="C138" s="21" t="s">
        <v>26</v>
      </c>
      <c r="D138" s="21" t="s">
        <v>27</v>
      </c>
      <c r="E138" s="22" t="s">
        <v>23</v>
      </c>
      <c r="F138" s="20" t="s">
        <v>27</v>
      </c>
      <c r="G138" s="20" t="s">
        <v>27</v>
      </c>
    </row>
    <row r="139" ht="22" customHeight="1" spans="1:7" x14ac:dyDescent="0.25">
      <c r="A139" s="16" t="s">
        <v>36</v>
      </c>
      <c r="B139" s="17" t="s">
        <v>47</v>
      </c>
      <c r="C139" s="17" t="s">
        <v>113</v>
      </c>
      <c r="D139" s="17" t="s">
        <v>49</v>
      </c>
      <c r="E139" s="18">
        <v>30.9</v>
      </c>
      <c r="F139" s="19" t="s">
        <v>22</v>
      </c>
      <c r="G139" s="16" t="s">
        <v>23</v>
      </c>
    </row>
    <row r="140" ht="24" customHeight="1" spans="1:7" x14ac:dyDescent="0.25">
      <c r="A140" s="23" t="s">
        <v>38</v>
      </c>
      <c r="B140" s="23" t="s">
        <v>39</v>
      </c>
      <c r="C140" s="24" t="s">
        <v>40</v>
      </c>
      <c r="D140" s="24" t="s">
        <v>41</v>
      </c>
      <c r="E140" s="25">
        <f>SUM(E133,E135,E137,E139)</f>
        <v>148.6</v>
      </c>
      <c r="F140" s="23" t="str">
        <f>ROUND(E140/60, 1) &amp; " Saat"</f>
        <v>2.5 Saat</v>
      </c>
      <c r="G140" s="23" t="str">
        <f>COUNTIF(G133:G139, "X") &amp; "/4"</f>
        <v>0/4</v>
      </c>
    </row>
    <row r="141" ht="22" customHeight="1" spans="1:7" x14ac:dyDescent="0.25">
      <c r="A141" s="15" t="s">
        <v>51</v>
      </c>
      <c r="B141" s="15"/>
      <c r="C141" s="15"/>
      <c r="D141" s="15"/>
      <c r="E141" s="15"/>
      <c r="F141" s="15"/>
      <c r="G141" s="15"/>
    </row>
    <row r="142" ht="22" customHeight="1" spans="1:7" x14ac:dyDescent="0.25">
      <c r="A142" s="16" t="s">
        <v>18</v>
      </c>
      <c r="B142" s="17" t="s">
        <v>52</v>
      </c>
      <c r="C142" s="17" t="s">
        <v>114</v>
      </c>
      <c r="D142" s="17" t="s">
        <v>54</v>
      </c>
      <c r="E142" s="18">
        <v>16.8</v>
      </c>
      <c r="F142" s="19" t="s">
        <v>22</v>
      </c>
      <c r="G142" s="16" t="s">
        <v>23</v>
      </c>
    </row>
    <row r="143" ht="20" customHeight="1" spans="1:7" x14ac:dyDescent="0.25">
      <c r="A143" s="20" t="s">
        <v>24</v>
      </c>
      <c r="B143" s="21" t="s">
        <v>25</v>
      </c>
      <c r="C143" s="21" t="s">
        <v>26</v>
      </c>
      <c r="D143" s="21" t="s">
        <v>27</v>
      </c>
      <c r="E143" s="22" t="s">
        <v>23</v>
      </c>
      <c r="F143" s="20" t="s">
        <v>27</v>
      </c>
      <c r="G143" s="20" t="s">
        <v>27</v>
      </c>
    </row>
    <row r="144" ht="22" customHeight="1" spans="1:7" x14ac:dyDescent="0.25">
      <c r="A144" s="16" t="s">
        <v>28</v>
      </c>
      <c r="B144" s="17" t="s">
        <v>52</v>
      </c>
      <c r="C144" s="17" t="s">
        <v>115</v>
      </c>
      <c r="D144" s="17" t="s">
        <v>54</v>
      </c>
      <c r="E144" s="18">
        <v>27.3</v>
      </c>
      <c r="F144" s="19" t="s">
        <v>22</v>
      </c>
      <c r="G144" s="16" t="s">
        <v>23</v>
      </c>
    </row>
    <row r="145" ht="20" customHeight="1" spans="1:7" x14ac:dyDescent="0.25">
      <c r="A145" s="20" t="s">
        <v>30</v>
      </c>
      <c r="B145" s="21" t="s">
        <v>25</v>
      </c>
      <c r="C145" s="21" t="s">
        <v>26</v>
      </c>
      <c r="D145" s="21" t="s">
        <v>27</v>
      </c>
      <c r="E145" s="22" t="s">
        <v>23</v>
      </c>
      <c r="F145" s="20" t="s">
        <v>27</v>
      </c>
      <c r="G145" s="20" t="s">
        <v>27</v>
      </c>
    </row>
    <row r="146" ht="22" customHeight="1" spans="1:7" x14ac:dyDescent="0.25">
      <c r="A146" s="16" t="s">
        <v>31</v>
      </c>
      <c r="B146" s="17" t="s">
        <v>56</v>
      </c>
      <c r="C146" s="17" t="s">
        <v>116</v>
      </c>
      <c r="D146" s="17" t="s">
        <v>58</v>
      </c>
      <c r="E146" s="18">
        <v>25.8</v>
      </c>
      <c r="F146" s="19" t="s">
        <v>22</v>
      </c>
      <c r="G146" s="16" t="s">
        <v>23</v>
      </c>
    </row>
    <row r="147" ht="20" customHeight="1" spans="1:7" x14ac:dyDescent="0.25">
      <c r="A147" s="20" t="s">
        <v>35</v>
      </c>
      <c r="B147" s="21" t="s">
        <v>25</v>
      </c>
      <c r="C147" s="21" t="s">
        <v>26</v>
      </c>
      <c r="D147" s="21" t="s">
        <v>27</v>
      </c>
      <c r="E147" s="22" t="s">
        <v>23</v>
      </c>
      <c r="F147" s="20" t="s">
        <v>27</v>
      </c>
      <c r="G147" s="20" t="s">
        <v>27</v>
      </c>
    </row>
    <row r="148" ht="22" customHeight="1" spans="1:7" x14ac:dyDescent="0.25">
      <c r="A148" s="16" t="s">
        <v>36</v>
      </c>
      <c r="B148" s="17" t="s">
        <v>56</v>
      </c>
      <c r="C148" s="17" t="s">
        <v>117</v>
      </c>
      <c r="D148" s="17" t="s">
        <v>58</v>
      </c>
      <c r="E148" s="18">
        <v>22</v>
      </c>
      <c r="F148" s="19" t="s">
        <v>22</v>
      </c>
      <c r="G148" s="16" t="s">
        <v>23</v>
      </c>
    </row>
    <row r="149" ht="24" customHeight="1" spans="1:7" x14ac:dyDescent="0.25">
      <c r="A149" s="23" t="s">
        <v>38</v>
      </c>
      <c r="B149" s="23" t="s">
        <v>39</v>
      </c>
      <c r="C149" s="24" t="s">
        <v>40</v>
      </c>
      <c r="D149" s="24" t="s">
        <v>41</v>
      </c>
      <c r="E149" s="25">
        <f>SUM(E142,E144,E146,E148)</f>
        <v>91.9</v>
      </c>
      <c r="F149" s="23" t="str">
        <f>ROUND(E149/60, 1) &amp; " Saat"</f>
        <v>1.5 Saat</v>
      </c>
      <c r="G149" s="23" t="str">
        <f>COUNTIF(G142:G148, "X") &amp; "/4"</f>
        <v>0/4</v>
      </c>
    </row>
    <row r="150" ht="22" customHeight="1" spans="1:7" x14ac:dyDescent="0.25">
      <c r="A150" s="15" t="s">
        <v>60</v>
      </c>
      <c r="B150" s="15"/>
      <c r="C150" s="15"/>
      <c r="D150" s="15"/>
      <c r="E150" s="15"/>
      <c r="F150" s="15"/>
      <c r="G150" s="15"/>
    </row>
    <row r="151" ht="22" customHeight="1" spans="1:7" x14ac:dyDescent="0.25">
      <c r="A151" s="16" t="s">
        <v>18</v>
      </c>
      <c r="B151" s="17" t="s">
        <v>43</v>
      </c>
      <c r="C151" s="17" t="s">
        <v>118</v>
      </c>
      <c r="D151" s="17" t="s">
        <v>45</v>
      </c>
      <c r="E151" s="18">
        <v>36.9</v>
      </c>
      <c r="F151" s="19" t="s">
        <v>22</v>
      </c>
      <c r="G151" s="16" t="s">
        <v>23</v>
      </c>
    </row>
    <row r="152" ht="20" customHeight="1" spans="1:7" x14ac:dyDescent="0.25">
      <c r="A152" s="20" t="s">
        <v>24</v>
      </c>
      <c r="B152" s="21" t="s">
        <v>25</v>
      </c>
      <c r="C152" s="21" t="s">
        <v>26</v>
      </c>
      <c r="D152" s="21" t="s">
        <v>27</v>
      </c>
      <c r="E152" s="22" t="s">
        <v>23</v>
      </c>
      <c r="F152" s="20" t="s">
        <v>27</v>
      </c>
      <c r="G152" s="20" t="s">
        <v>27</v>
      </c>
    </row>
    <row r="153" ht="22" customHeight="1" spans="1:7" x14ac:dyDescent="0.25">
      <c r="A153" s="16" t="s">
        <v>28</v>
      </c>
      <c r="B153" s="17" t="s">
        <v>43</v>
      </c>
      <c r="C153" s="17" t="s">
        <v>119</v>
      </c>
      <c r="D153" s="17" t="s">
        <v>45</v>
      </c>
      <c r="E153" s="18">
        <v>54.4</v>
      </c>
      <c r="F153" s="19" t="s">
        <v>22</v>
      </c>
      <c r="G153" s="16" t="s">
        <v>23</v>
      </c>
    </row>
    <row r="154" ht="20" customHeight="1" spans="1:7" x14ac:dyDescent="0.25">
      <c r="A154" s="20" t="s">
        <v>30</v>
      </c>
      <c r="B154" s="21" t="s">
        <v>25</v>
      </c>
      <c r="C154" s="21" t="s">
        <v>26</v>
      </c>
      <c r="D154" s="21" t="s">
        <v>27</v>
      </c>
      <c r="E154" s="22" t="s">
        <v>23</v>
      </c>
      <c r="F154" s="20" t="s">
        <v>27</v>
      </c>
      <c r="G154" s="20" t="s">
        <v>27</v>
      </c>
    </row>
    <row r="155" ht="22" customHeight="1" spans="1:7" x14ac:dyDescent="0.25">
      <c r="A155" s="16" t="s">
        <v>31</v>
      </c>
      <c r="B155" s="17" t="s">
        <v>63</v>
      </c>
      <c r="C155" s="17" t="s">
        <v>120</v>
      </c>
      <c r="D155" s="17" t="s">
        <v>65</v>
      </c>
      <c r="E155" s="18">
        <v>12.3</v>
      </c>
      <c r="F155" s="19" t="s">
        <v>22</v>
      </c>
      <c r="G155" s="16" t="s">
        <v>23</v>
      </c>
    </row>
    <row r="156" ht="20" customHeight="1" spans="1:7" x14ac:dyDescent="0.25">
      <c r="A156" s="20" t="s">
        <v>35</v>
      </c>
      <c r="B156" s="21" t="s">
        <v>25</v>
      </c>
      <c r="C156" s="21" t="s">
        <v>26</v>
      </c>
      <c r="D156" s="21" t="s">
        <v>27</v>
      </c>
      <c r="E156" s="22" t="s">
        <v>23</v>
      </c>
      <c r="F156" s="20" t="s">
        <v>27</v>
      </c>
      <c r="G156" s="20" t="s">
        <v>27</v>
      </c>
    </row>
    <row r="157" ht="22" customHeight="1" spans="1:7" x14ac:dyDescent="0.25">
      <c r="A157" s="16" t="s">
        <v>36</v>
      </c>
      <c r="B157" s="17" t="s">
        <v>63</v>
      </c>
      <c r="C157" s="17" t="s">
        <v>121</v>
      </c>
      <c r="D157" s="17" t="s">
        <v>65</v>
      </c>
      <c r="E157" s="18">
        <v>18.1</v>
      </c>
      <c r="F157" s="19" t="s">
        <v>22</v>
      </c>
      <c r="G157" s="16" t="s">
        <v>23</v>
      </c>
    </row>
    <row r="158" ht="24" customHeight="1" spans="1:7" x14ac:dyDescent="0.25">
      <c r="A158" s="23" t="s">
        <v>38</v>
      </c>
      <c r="B158" s="23" t="s">
        <v>39</v>
      </c>
      <c r="C158" s="24" t="s">
        <v>40</v>
      </c>
      <c r="D158" s="24" t="s">
        <v>41</v>
      </c>
      <c r="E158" s="25">
        <f>SUM(E151,E153,E155,E157)</f>
        <v>121.7</v>
      </c>
      <c r="F158" s="23" t="str">
        <f>ROUND(E158/60, 1) &amp; " Saat"</f>
        <v>2.0 Saat</v>
      </c>
      <c r="G158" s="23" t="str">
        <f>COUNTIF(G151:G157, "X") &amp; "/4"</f>
        <v>0/4</v>
      </c>
    </row>
    <row r="159" ht="22" customHeight="1" spans="1:7" x14ac:dyDescent="0.25">
      <c r="A159" s="15" t="s">
        <v>67</v>
      </c>
      <c r="B159" s="15"/>
      <c r="C159" s="15"/>
      <c r="D159" s="15"/>
      <c r="E159" s="15"/>
      <c r="F159" s="15"/>
      <c r="G159" s="15"/>
    </row>
    <row r="160" ht="22" customHeight="1" spans="1:7" x14ac:dyDescent="0.25">
      <c r="A160" s="16" t="s">
        <v>18</v>
      </c>
      <c r="B160" s="17" t="s">
        <v>68</v>
      </c>
      <c r="C160" s="17" t="s">
        <v>122</v>
      </c>
      <c r="D160" s="17" t="s">
        <v>70</v>
      </c>
      <c r="E160" s="18">
        <v>36.4</v>
      </c>
      <c r="F160" s="19" t="s">
        <v>22</v>
      </c>
      <c r="G160" s="16" t="s">
        <v>23</v>
      </c>
    </row>
    <row r="161" ht="20" customHeight="1" spans="1:7" x14ac:dyDescent="0.25">
      <c r="A161" s="20" t="s">
        <v>24</v>
      </c>
      <c r="B161" s="21" t="s">
        <v>25</v>
      </c>
      <c r="C161" s="21" t="s">
        <v>26</v>
      </c>
      <c r="D161" s="21" t="s">
        <v>27</v>
      </c>
      <c r="E161" s="22" t="s">
        <v>23</v>
      </c>
      <c r="F161" s="20" t="s">
        <v>27</v>
      </c>
      <c r="G161" s="20" t="s">
        <v>27</v>
      </c>
    </row>
    <row r="162" ht="22" customHeight="1" spans="1:7" x14ac:dyDescent="0.25">
      <c r="A162" s="16" t="s">
        <v>28</v>
      </c>
      <c r="B162" s="17" t="s">
        <v>68</v>
      </c>
      <c r="C162" s="17" t="s">
        <v>123</v>
      </c>
      <c r="D162" s="17" t="s">
        <v>70</v>
      </c>
      <c r="E162" s="18">
        <v>35.9</v>
      </c>
      <c r="F162" s="19" t="s">
        <v>22</v>
      </c>
      <c r="G162" s="16" t="s">
        <v>23</v>
      </c>
    </row>
    <row r="163" ht="20" customHeight="1" spans="1:7" x14ac:dyDescent="0.25">
      <c r="A163" s="20" t="s">
        <v>30</v>
      </c>
      <c r="B163" s="21" t="s">
        <v>25</v>
      </c>
      <c r="C163" s="21" t="s">
        <v>26</v>
      </c>
      <c r="D163" s="21" t="s">
        <v>27</v>
      </c>
      <c r="E163" s="22" t="s">
        <v>23</v>
      </c>
      <c r="F163" s="20" t="s">
        <v>27</v>
      </c>
      <c r="G163" s="20" t="s">
        <v>27</v>
      </c>
    </row>
    <row r="164" ht="22" customHeight="1" spans="1:7" x14ac:dyDescent="0.25">
      <c r="A164" s="16" t="s">
        <v>31</v>
      </c>
      <c r="B164" s="17" t="s">
        <v>56</v>
      </c>
      <c r="C164" s="17" t="s">
        <v>124</v>
      </c>
      <c r="D164" s="17" t="s">
        <v>58</v>
      </c>
      <c r="E164" s="18">
        <v>34.5</v>
      </c>
      <c r="F164" s="19" t="s">
        <v>22</v>
      </c>
      <c r="G164" s="16" t="s">
        <v>23</v>
      </c>
    </row>
    <row r="165" ht="20" customHeight="1" spans="1:7" x14ac:dyDescent="0.25">
      <c r="A165" s="20" t="s">
        <v>35</v>
      </c>
      <c r="B165" s="21" t="s">
        <v>25</v>
      </c>
      <c r="C165" s="21" t="s">
        <v>26</v>
      </c>
      <c r="D165" s="21" t="s">
        <v>27</v>
      </c>
      <c r="E165" s="22" t="s">
        <v>23</v>
      </c>
      <c r="F165" s="20" t="s">
        <v>27</v>
      </c>
      <c r="G165" s="20" t="s">
        <v>27</v>
      </c>
    </row>
    <row r="166" ht="22" customHeight="1" spans="1:7" x14ac:dyDescent="0.25">
      <c r="A166" s="16" t="s">
        <v>36</v>
      </c>
      <c r="B166" s="17" t="s">
        <v>56</v>
      </c>
      <c r="C166" s="17" t="s">
        <v>125</v>
      </c>
      <c r="D166" s="17" t="s">
        <v>58</v>
      </c>
      <c r="E166" s="18">
        <v>19.2</v>
      </c>
      <c r="F166" s="19" t="s">
        <v>22</v>
      </c>
      <c r="G166" s="16" t="s">
        <v>23</v>
      </c>
    </row>
    <row r="167" ht="24" customHeight="1" spans="1:7" x14ac:dyDescent="0.25">
      <c r="A167" s="23" t="s">
        <v>38</v>
      </c>
      <c r="B167" s="23" t="s">
        <v>39</v>
      </c>
      <c r="C167" s="24" t="s">
        <v>40</v>
      </c>
      <c r="D167" s="24" t="s">
        <v>41</v>
      </c>
      <c r="E167" s="25">
        <f>SUM(E160,E162,E164,E166)</f>
        <v>126</v>
      </c>
      <c r="F167" s="23" t="str">
        <f>ROUND(E167/60, 1) &amp; " Saat"</f>
        <v>2.1 Saat</v>
      </c>
      <c r="G167" s="23" t="str">
        <f>COUNTIF(G160:G166, "X") &amp; "/4"</f>
        <v>0/4</v>
      </c>
    </row>
    <row r="168" ht="22" customHeight="1" spans="1:7" x14ac:dyDescent="0.25">
      <c r="A168" s="15" t="s">
        <v>74</v>
      </c>
      <c r="B168" s="15"/>
      <c r="C168" s="15"/>
      <c r="D168" s="15"/>
      <c r="E168" s="15"/>
      <c r="F168" s="15"/>
      <c r="G168" s="15"/>
    </row>
    <row r="169" ht="22" customHeight="1" spans="1:7" x14ac:dyDescent="0.25">
      <c r="A169" s="16" t="s">
        <v>18</v>
      </c>
      <c r="B169" s="17" t="s">
        <v>47</v>
      </c>
      <c r="C169" s="17" t="s">
        <v>126</v>
      </c>
      <c r="D169" s="17" t="s">
        <v>49</v>
      </c>
      <c r="E169" s="18">
        <v>25.4</v>
      </c>
      <c r="F169" s="19" t="s">
        <v>22</v>
      </c>
      <c r="G169" s="16" t="s">
        <v>23</v>
      </c>
    </row>
    <row r="170" ht="20" customHeight="1" spans="1:7" x14ac:dyDescent="0.25">
      <c r="A170" s="20" t="s">
        <v>24</v>
      </c>
      <c r="B170" s="21" t="s">
        <v>25</v>
      </c>
      <c r="C170" s="21" t="s">
        <v>26</v>
      </c>
      <c r="D170" s="21" t="s">
        <v>27</v>
      </c>
      <c r="E170" s="22" t="s">
        <v>23</v>
      </c>
      <c r="F170" s="20" t="s">
        <v>27</v>
      </c>
      <c r="G170" s="20" t="s">
        <v>27</v>
      </c>
    </row>
    <row r="171" ht="22" customHeight="1" spans="1:7" x14ac:dyDescent="0.25">
      <c r="A171" s="16" t="s">
        <v>28</v>
      </c>
      <c r="B171" s="17" t="s">
        <v>47</v>
      </c>
      <c r="C171" s="17" t="s">
        <v>127</v>
      </c>
      <c r="D171" s="17" t="s">
        <v>49</v>
      </c>
      <c r="E171" s="18">
        <v>44.4</v>
      </c>
      <c r="F171" s="19" t="s">
        <v>22</v>
      </c>
      <c r="G171" s="16" t="s">
        <v>23</v>
      </c>
    </row>
    <row r="172" ht="20" customHeight="1" spans="1:7" x14ac:dyDescent="0.25">
      <c r="A172" s="20" t="s">
        <v>30</v>
      </c>
      <c r="B172" s="21" t="s">
        <v>25</v>
      </c>
      <c r="C172" s="21" t="s">
        <v>26</v>
      </c>
      <c r="D172" s="21" t="s">
        <v>27</v>
      </c>
      <c r="E172" s="22" t="s">
        <v>23</v>
      </c>
      <c r="F172" s="20" t="s">
        <v>27</v>
      </c>
      <c r="G172" s="20" t="s">
        <v>27</v>
      </c>
    </row>
    <row r="173" ht="22" customHeight="1" spans="1:7" x14ac:dyDescent="0.25">
      <c r="A173" s="16" t="s">
        <v>31</v>
      </c>
      <c r="B173" s="17" t="s">
        <v>52</v>
      </c>
      <c r="C173" s="17" t="s">
        <v>128</v>
      </c>
      <c r="D173" s="17" t="s">
        <v>54</v>
      </c>
      <c r="E173" s="18">
        <v>10.6</v>
      </c>
      <c r="F173" s="19" t="s">
        <v>22</v>
      </c>
      <c r="G173" s="16" t="s">
        <v>23</v>
      </c>
    </row>
    <row r="174" ht="20" customHeight="1" spans="1:7" x14ac:dyDescent="0.25">
      <c r="A174" s="20" t="s">
        <v>35</v>
      </c>
      <c r="B174" s="21" t="s">
        <v>25</v>
      </c>
      <c r="C174" s="21" t="s">
        <v>26</v>
      </c>
      <c r="D174" s="21" t="s">
        <v>27</v>
      </c>
      <c r="E174" s="22" t="s">
        <v>23</v>
      </c>
      <c r="F174" s="20" t="s">
        <v>27</v>
      </c>
      <c r="G174" s="20" t="s">
        <v>27</v>
      </c>
    </row>
    <row r="175" ht="22" customHeight="1" spans="1:7" x14ac:dyDescent="0.25">
      <c r="A175" s="16" t="s">
        <v>36</v>
      </c>
      <c r="B175" s="17" t="s">
        <v>52</v>
      </c>
      <c r="C175" s="17" t="s">
        <v>129</v>
      </c>
      <c r="D175" s="17" t="s">
        <v>54</v>
      </c>
      <c r="E175" s="18">
        <v>44.6</v>
      </c>
      <c r="F175" s="19" t="s">
        <v>22</v>
      </c>
      <c r="G175" s="16" t="s">
        <v>23</v>
      </c>
    </row>
    <row r="176" ht="24" customHeight="1" spans="1:7" x14ac:dyDescent="0.25">
      <c r="A176" s="23" t="s">
        <v>38</v>
      </c>
      <c r="B176" s="23" t="s">
        <v>39</v>
      </c>
      <c r="C176" s="24" t="s">
        <v>40</v>
      </c>
      <c r="D176" s="24" t="s">
        <v>41</v>
      </c>
      <c r="E176" s="25">
        <f>SUM(E169,E171,E173,E175)</f>
        <v>125</v>
      </c>
      <c r="F176" s="23" t="str">
        <f>ROUND(E176/60, 1) &amp; " Saat"</f>
        <v>2.1 Saat</v>
      </c>
      <c r="G176" s="23" t="str">
        <f>COUNTIF(G169:G175, "X") &amp; "/4"</f>
        <v>0/4</v>
      </c>
    </row>
    <row r="177" ht="28" customHeight="1" spans="1:7" x14ac:dyDescent="0.25">
      <c r="A177" s="26" t="s">
        <v>79</v>
      </c>
      <c r="B177" s="26"/>
      <c r="C177" s="26"/>
      <c r="D177" s="26"/>
      <c r="E177" s="26"/>
      <c r="F177" s="26"/>
      <c r="G177" s="26"/>
    </row>
    <row r="178" ht="8" customHeight="1" x14ac:dyDescent="0.25"/>
    <row r="179" ht="25" customHeight="1" spans="1:7" x14ac:dyDescent="0.25">
      <c r="A179" s="14" t="s">
        <v>130</v>
      </c>
      <c r="B179" s="14"/>
      <c r="C179" s="14"/>
      <c r="D179" s="14"/>
      <c r="E179" s="14"/>
      <c r="F179" s="14"/>
      <c r="G179" s="14"/>
    </row>
    <row r="180" ht="22" customHeight="1" spans="1:7" x14ac:dyDescent="0.25">
      <c r="A180" s="15" t="s">
        <v>17</v>
      </c>
      <c r="B180" s="15"/>
      <c r="C180" s="15"/>
      <c r="D180" s="15"/>
      <c r="E180" s="15"/>
      <c r="F180" s="15"/>
      <c r="G180" s="15"/>
    </row>
    <row r="181" ht="22" customHeight="1" spans="1:7" x14ac:dyDescent="0.25">
      <c r="A181" s="16" t="s">
        <v>18</v>
      </c>
      <c r="B181" s="17" t="s">
        <v>19</v>
      </c>
      <c r="C181" s="17" t="s">
        <v>131</v>
      </c>
      <c r="D181" s="17" t="s">
        <v>21</v>
      </c>
      <c r="E181" s="18">
        <v>14.7</v>
      </c>
      <c r="F181" s="19" t="s">
        <v>22</v>
      </c>
      <c r="G181" s="16" t="s">
        <v>23</v>
      </c>
    </row>
    <row r="182" ht="20" customHeight="1" spans="1:7" x14ac:dyDescent="0.25">
      <c r="A182" s="20" t="s">
        <v>24</v>
      </c>
      <c r="B182" s="21" t="s">
        <v>25</v>
      </c>
      <c r="C182" s="21" t="s">
        <v>26</v>
      </c>
      <c r="D182" s="21" t="s">
        <v>27</v>
      </c>
      <c r="E182" s="22" t="s">
        <v>23</v>
      </c>
      <c r="F182" s="20" t="s">
        <v>27</v>
      </c>
      <c r="G182" s="20" t="s">
        <v>27</v>
      </c>
    </row>
    <row r="183" ht="22" customHeight="1" spans="1:7" x14ac:dyDescent="0.25">
      <c r="A183" s="16" t="s">
        <v>28</v>
      </c>
      <c r="B183" s="17" t="s">
        <v>19</v>
      </c>
      <c r="C183" s="17" t="s">
        <v>132</v>
      </c>
      <c r="D183" s="17" t="s">
        <v>21</v>
      </c>
      <c r="E183" s="18">
        <v>7.2</v>
      </c>
      <c r="F183" s="19" t="s">
        <v>22</v>
      </c>
      <c r="G183" s="16" t="s">
        <v>23</v>
      </c>
    </row>
    <row r="184" ht="20" customHeight="1" spans="1:7" x14ac:dyDescent="0.25">
      <c r="A184" s="20" t="s">
        <v>30</v>
      </c>
      <c r="B184" s="21" t="s">
        <v>25</v>
      </c>
      <c r="C184" s="21" t="s">
        <v>26</v>
      </c>
      <c r="D184" s="21" t="s">
        <v>27</v>
      </c>
      <c r="E184" s="22" t="s">
        <v>23</v>
      </c>
      <c r="F184" s="20" t="s">
        <v>27</v>
      </c>
      <c r="G184" s="20" t="s">
        <v>27</v>
      </c>
    </row>
    <row r="185" ht="22" customHeight="1" spans="1:7" x14ac:dyDescent="0.25">
      <c r="A185" s="16" t="s">
        <v>31</v>
      </c>
      <c r="B185" s="17" t="s">
        <v>32</v>
      </c>
      <c r="C185" s="17" t="s">
        <v>133</v>
      </c>
      <c r="D185" s="17" t="s">
        <v>34</v>
      </c>
      <c r="E185" s="18">
        <v>37.5</v>
      </c>
      <c r="F185" s="19" t="s">
        <v>22</v>
      </c>
      <c r="G185" s="16" t="s">
        <v>23</v>
      </c>
    </row>
    <row r="186" ht="20" customHeight="1" spans="1:7" x14ac:dyDescent="0.25">
      <c r="A186" s="20" t="s">
        <v>35</v>
      </c>
      <c r="B186" s="21" t="s">
        <v>25</v>
      </c>
      <c r="C186" s="21" t="s">
        <v>26</v>
      </c>
      <c r="D186" s="21" t="s">
        <v>27</v>
      </c>
      <c r="E186" s="22" t="s">
        <v>23</v>
      </c>
      <c r="F186" s="20" t="s">
        <v>27</v>
      </c>
      <c r="G186" s="20" t="s">
        <v>27</v>
      </c>
    </row>
    <row r="187" ht="22" customHeight="1" spans="1:7" x14ac:dyDescent="0.25">
      <c r="A187" s="16" t="s">
        <v>36</v>
      </c>
      <c r="B187" s="17" t="s">
        <v>32</v>
      </c>
      <c r="C187" s="17" t="s">
        <v>134</v>
      </c>
      <c r="D187" s="17" t="s">
        <v>34</v>
      </c>
      <c r="E187" s="18">
        <v>22.2</v>
      </c>
      <c r="F187" s="19" t="s">
        <v>22</v>
      </c>
      <c r="G187" s="16" t="s">
        <v>23</v>
      </c>
    </row>
    <row r="188" ht="24" customHeight="1" spans="1:7" x14ac:dyDescent="0.25">
      <c r="A188" s="23" t="s">
        <v>38</v>
      </c>
      <c r="B188" s="23" t="s">
        <v>39</v>
      </c>
      <c r="C188" s="24" t="s">
        <v>40</v>
      </c>
      <c r="D188" s="24" t="s">
        <v>41</v>
      </c>
      <c r="E188" s="25">
        <f>SUM(E181,E183,E185,E187)</f>
        <v>81.6</v>
      </c>
      <c r="F188" s="23" t="str">
        <f>ROUND(E188/60, 1) &amp; " Saat"</f>
        <v>1.4 Saat</v>
      </c>
      <c r="G188" s="23" t="str">
        <f>COUNTIF(G181:G187, "X") &amp; "/4"</f>
        <v>0/4</v>
      </c>
    </row>
    <row r="189" ht="22" customHeight="1" spans="1:7" x14ac:dyDescent="0.25">
      <c r="A189" s="15" t="s">
        <v>42</v>
      </c>
      <c r="B189" s="15"/>
      <c r="C189" s="15"/>
      <c r="D189" s="15"/>
      <c r="E189" s="15"/>
      <c r="F189" s="15"/>
      <c r="G189" s="15"/>
    </row>
    <row r="190" ht="22" customHeight="1" spans="1:7" x14ac:dyDescent="0.25">
      <c r="A190" s="16" t="s">
        <v>18</v>
      </c>
      <c r="B190" s="17" t="s">
        <v>43</v>
      </c>
      <c r="C190" s="17" t="s">
        <v>135</v>
      </c>
      <c r="D190" s="17" t="s">
        <v>45</v>
      </c>
      <c r="E190" s="18">
        <v>31.2</v>
      </c>
      <c r="F190" s="19" t="s">
        <v>22</v>
      </c>
      <c r="G190" s="16" t="s">
        <v>23</v>
      </c>
    </row>
    <row r="191" ht="20" customHeight="1" spans="1:7" x14ac:dyDescent="0.25">
      <c r="A191" s="20" t="s">
        <v>24</v>
      </c>
      <c r="B191" s="21" t="s">
        <v>25</v>
      </c>
      <c r="C191" s="21" t="s">
        <v>26</v>
      </c>
      <c r="D191" s="21" t="s">
        <v>27</v>
      </c>
      <c r="E191" s="22" t="s">
        <v>23</v>
      </c>
      <c r="F191" s="20" t="s">
        <v>27</v>
      </c>
      <c r="G191" s="20" t="s">
        <v>27</v>
      </c>
    </row>
    <row r="192" ht="22" customHeight="1" spans="1:7" x14ac:dyDescent="0.25">
      <c r="A192" s="16" t="s">
        <v>28</v>
      </c>
      <c r="B192" s="17" t="s">
        <v>43</v>
      </c>
      <c r="C192" s="17" t="s">
        <v>136</v>
      </c>
      <c r="D192" s="17" t="s">
        <v>45</v>
      </c>
      <c r="E192" s="18">
        <v>57.9</v>
      </c>
      <c r="F192" s="19" t="s">
        <v>22</v>
      </c>
      <c r="G192" s="16" t="s">
        <v>23</v>
      </c>
    </row>
    <row r="193" ht="20" customHeight="1" spans="1:7" x14ac:dyDescent="0.25">
      <c r="A193" s="20" t="s">
        <v>30</v>
      </c>
      <c r="B193" s="21" t="s">
        <v>25</v>
      </c>
      <c r="C193" s="21" t="s">
        <v>26</v>
      </c>
      <c r="D193" s="21" t="s">
        <v>27</v>
      </c>
      <c r="E193" s="22" t="s">
        <v>23</v>
      </c>
      <c r="F193" s="20" t="s">
        <v>27</v>
      </c>
      <c r="G193" s="20" t="s">
        <v>27</v>
      </c>
    </row>
    <row r="194" ht="22" customHeight="1" spans="1:7" x14ac:dyDescent="0.25">
      <c r="A194" s="16" t="s">
        <v>31</v>
      </c>
      <c r="B194" s="17" t="s">
        <v>47</v>
      </c>
      <c r="C194" s="17" t="s">
        <v>137</v>
      </c>
      <c r="D194" s="17" t="s">
        <v>49</v>
      </c>
      <c r="E194" s="18">
        <v>19.7</v>
      </c>
      <c r="F194" s="19" t="s">
        <v>22</v>
      </c>
      <c r="G194" s="16" t="s">
        <v>23</v>
      </c>
    </row>
    <row r="195" ht="20" customHeight="1" spans="1:7" x14ac:dyDescent="0.25">
      <c r="A195" s="20" t="s">
        <v>35</v>
      </c>
      <c r="B195" s="21" t="s">
        <v>25</v>
      </c>
      <c r="C195" s="21" t="s">
        <v>26</v>
      </c>
      <c r="D195" s="21" t="s">
        <v>27</v>
      </c>
      <c r="E195" s="22" t="s">
        <v>23</v>
      </c>
      <c r="F195" s="20" t="s">
        <v>27</v>
      </c>
      <c r="G195" s="20" t="s">
        <v>27</v>
      </c>
    </row>
    <row r="196" ht="22" customHeight="1" spans="1:7" x14ac:dyDescent="0.25">
      <c r="A196" s="16" t="s">
        <v>36</v>
      </c>
      <c r="B196" s="17" t="s">
        <v>47</v>
      </c>
      <c r="C196" s="17" t="s">
        <v>138</v>
      </c>
      <c r="D196" s="17" t="s">
        <v>49</v>
      </c>
      <c r="E196" s="18">
        <v>29.9</v>
      </c>
      <c r="F196" s="19" t="s">
        <v>22</v>
      </c>
      <c r="G196" s="16" t="s">
        <v>23</v>
      </c>
    </row>
    <row r="197" ht="24" customHeight="1" spans="1:7" x14ac:dyDescent="0.25">
      <c r="A197" s="23" t="s">
        <v>38</v>
      </c>
      <c r="B197" s="23" t="s">
        <v>39</v>
      </c>
      <c r="C197" s="24" t="s">
        <v>40</v>
      </c>
      <c r="D197" s="24" t="s">
        <v>41</v>
      </c>
      <c r="E197" s="25">
        <f>SUM(E190,E192,E194,E196)</f>
        <v>138.7</v>
      </c>
      <c r="F197" s="23" t="str">
        <f>ROUND(E197/60, 1) &amp; " Saat"</f>
        <v>2.3 Saat</v>
      </c>
      <c r="G197" s="23" t="str">
        <f>COUNTIF(G190:G196, "X") &amp; "/4"</f>
        <v>0/4</v>
      </c>
    </row>
    <row r="198" ht="22" customHeight="1" spans="1:7" x14ac:dyDescent="0.25">
      <c r="A198" s="15" t="s">
        <v>51</v>
      </c>
      <c r="B198" s="15"/>
      <c r="C198" s="15"/>
      <c r="D198" s="15"/>
      <c r="E198" s="15"/>
      <c r="F198" s="15"/>
      <c r="G198" s="15"/>
    </row>
    <row r="199" ht="22" customHeight="1" spans="1:7" x14ac:dyDescent="0.25">
      <c r="A199" s="16" t="s">
        <v>18</v>
      </c>
      <c r="B199" s="17" t="s">
        <v>52</v>
      </c>
      <c r="C199" s="17" t="s">
        <v>139</v>
      </c>
      <c r="D199" s="17" t="s">
        <v>54</v>
      </c>
      <c r="E199" s="18">
        <v>30.2</v>
      </c>
      <c r="F199" s="19" t="s">
        <v>22</v>
      </c>
      <c r="G199" s="16" t="s">
        <v>23</v>
      </c>
    </row>
    <row r="200" ht="20" customHeight="1" spans="1:7" x14ac:dyDescent="0.25">
      <c r="A200" s="20" t="s">
        <v>24</v>
      </c>
      <c r="B200" s="21" t="s">
        <v>25</v>
      </c>
      <c r="C200" s="21" t="s">
        <v>26</v>
      </c>
      <c r="D200" s="21" t="s">
        <v>27</v>
      </c>
      <c r="E200" s="22" t="s">
        <v>23</v>
      </c>
      <c r="F200" s="20" t="s">
        <v>27</v>
      </c>
      <c r="G200" s="20" t="s">
        <v>27</v>
      </c>
    </row>
    <row r="201" ht="22" customHeight="1" spans="1:7" x14ac:dyDescent="0.25">
      <c r="A201" s="16" t="s">
        <v>28</v>
      </c>
      <c r="B201" s="17" t="s">
        <v>52</v>
      </c>
      <c r="C201" s="17" t="s">
        <v>140</v>
      </c>
      <c r="D201" s="17" t="s">
        <v>54</v>
      </c>
      <c r="E201" s="18">
        <v>7.5</v>
      </c>
      <c r="F201" s="19" t="s">
        <v>22</v>
      </c>
      <c r="G201" s="16" t="s">
        <v>23</v>
      </c>
    </row>
    <row r="202" ht="20" customHeight="1" spans="1:7" x14ac:dyDescent="0.25">
      <c r="A202" s="20" t="s">
        <v>30</v>
      </c>
      <c r="B202" s="21" t="s">
        <v>25</v>
      </c>
      <c r="C202" s="21" t="s">
        <v>26</v>
      </c>
      <c r="D202" s="21" t="s">
        <v>27</v>
      </c>
      <c r="E202" s="22" t="s">
        <v>23</v>
      </c>
      <c r="F202" s="20" t="s">
        <v>27</v>
      </c>
      <c r="G202" s="20" t="s">
        <v>27</v>
      </c>
    </row>
    <row r="203" ht="22" customHeight="1" spans="1:7" x14ac:dyDescent="0.25">
      <c r="A203" s="16" t="s">
        <v>31</v>
      </c>
      <c r="B203" s="17" t="s">
        <v>56</v>
      </c>
      <c r="C203" s="17" t="s">
        <v>141</v>
      </c>
      <c r="D203" s="17" t="s">
        <v>58</v>
      </c>
      <c r="E203" s="18">
        <v>17.9</v>
      </c>
      <c r="F203" s="19" t="s">
        <v>22</v>
      </c>
      <c r="G203" s="16" t="s">
        <v>23</v>
      </c>
    </row>
    <row r="204" ht="20" customHeight="1" spans="1:7" x14ac:dyDescent="0.25">
      <c r="A204" s="20" t="s">
        <v>35</v>
      </c>
      <c r="B204" s="21" t="s">
        <v>25</v>
      </c>
      <c r="C204" s="21" t="s">
        <v>26</v>
      </c>
      <c r="D204" s="21" t="s">
        <v>27</v>
      </c>
      <c r="E204" s="22" t="s">
        <v>23</v>
      </c>
      <c r="F204" s="20" t="s">
        <v>27</v>
      </c>
      <c r="G204" s="20" t="s">
        <v>27</v>
      </c>
    </row>
    <row r="205" ht="22" customHeight="1" spans="1:7" x14ac:dyDescent="0.25">
      <c r="A205" s="16" t="s">
        <v>36</v>
      </c>
      <c r="B205" s="17" t="s">
        <v>56</v>
      </c>
      <c r="C205" s="17" t="s">
        <v>142</v>
      </c>
      <c r="D205" s="17" t="s">
        <v>58</v>
      </c>
      <c r="E205" s="18">
        <v>49.1</v>
      </c>
      <c r="F205" s="19" t="s">
        <v>22</v>
      </c>
      <c r="G205" s="16" t="s">
        <v>23</v>
      </c>
    </row>
    <row r="206" ht="24" customHeight="1" spans="1:7" x14ac:dyDescent="0.25">
      <c r="A206" s="23" t="s">
        <v>38</v>
      </c>
      <c r="B206" s="23" t="s">
        <v>39</v>
      </c>
      <c r="C206" s="24" t="s">
        <v>40</v>
      </c>
      <c r="D206" s="24" t="s">
        <v>41</v>
      </c>
      <c r="E206" s="25">
        <f>SUM(E199,E201,E203,E205)</f>
        <v>104.7</v>
      </c>
      <c r="F206" s="23" t="str">
        <f>ROUND(E206/60, 1) &amp; " Saat"</f>
        <v>1.7 Saat</v>
      </c>
      <c r="G206" s="23" t="str">
        <f>COUNTIF(G199:G205, "X") &amp; "/4"</f>
        <v>0/4</v>
      </c>
    </row>
    <row r="207" ht="22" customHeight="1" spans="1:7" x14ac:dyDescent="0.25">
      <c r="A207" s="15" t="s">
        <v>60</v>
      </c>
      <c r="B207" s="15"/>
      <c r="C207" s="15"/>
      <c r="D207" s="15"/>
      <c r="E207" s="15"/>
      <c r="F207" s="15"/>
      <c r="G207" s="15"/>
    </row>
    <row r="208" ht="22" customHeight="1" spans="1:7" x14ac:dyDescent="0.25">
      <c r="A208" s="16" t="s">
        <v>18</v>
      </c>
      <c r="B208" s="17" t="s">
        <v>43</v>
      </c>
      <c r="C208" s="17" t="s">
        <v>143</v>
      </c>
      <c r="D208" s="17" t="s">
        <v>45</v>
      </c>
      <c r="E208" s="18">
        <v>22</v>
      </c>
      <c r="F208" s="19" t="s">
        <v>22</v>
      </c>
      <c r="G208" s="16" t="s">
        <v>23</v>
      </c>
    </row>
    <row r="209" ht="20" customHeight="1" spans="1:7" x14ac:dyDescent="0.25">
      <c r="A209" s="20" t="s">
        <v>24</v>
      </c>
      <c r="B209" s="21" t="s">
        <v>25</v>
      </c>
      <c r="C209" s="21" t="s">
        <v>26</v>
      </c>
      <c r="D209" s="21" t="s">
        <v>27</v>
      </c>
      <c r="E209" s="22" t="s">
        <v>23</v>
      </c>
      <c r="F209" s="20" t="s">
        <v>27</v>
      </c>
      <c r="G209" s="20" t="s">
        <v>27</v>
      </c>
    </row>
    <row r="210" ht="22" customHeight="1" spans="1:7" x14ac:dyDescent="0.25">
      <c r="A210" s="16" t="s">
        <v>28</v>
      </c>
      <c r="B210" s="17" t="s">
        <v>43</v>
      </c>
      <c r="C210" s="17" t="s">
        <v>144</v>
      </c>
      <c r="D210" s="17" t="s">
        <v>45</v>
      </c>
      <c r="E210" s="18">
        <v>49.7</v>
      </c>
      <c r="F210" s="19" t="s">
        <v>22</v>
      </c>
      <c r="G210" s="16" t="s">
        <v>23</v>
      </c>
    </row>
    <row r="211" ht="20" customHeight="1" spans="1:7" x14ac:dyDescent="0.25">
      <c r="A211" s="20" t="s">
        <v>30</v>
      </c>
      <c r="B211" s="21" t="s">
        <v>25</v>
      </c>
      <c r="C211" s="21" t="s">
        <v>26</v>
      </c>
      <c r="D211" s="21" t="s">
        <v>27</v>
      </c>
      <c r="E211" s="22" t="s">
        <v>23</v>
      </c>
      <c r="F211" s="20" t="s">
        <v>27</v>
      </c>
      <c r="G211" s="20" t="s">
        <v>27</v>
      </c>
    </row>
    <row r="212" ht="22" customHeight="1" spans="1:7" x14ac:dyDescent="0.25">
      <c r="A212" s="16" t="s">
        <v>31</v>
      </c>
      <c r="B212" s="17" t="s">
        <v>63</v>
      </c>
      <c r="C212" s="17" t="s">
        <v>145</v>
      </c>
      <c r="D212" s="17" t="s">
        <v>65</v>
      </c>
      <c r="E212" s="18">
        <v>44</v>
      </c>
      <c r="F212" s="19" t="s">
        <v>22</v>
      </c>
      <c r="G212" s="16" t="s">
        <v>23</v>
      </c>
    </row>
    <row r="213" ht="20" customHeight="1" spans="1:7" x14ac:dyDescent="0.25">
      <c r="A213" s="20" t="s">
        <v>35</v>
      </c>
      <c r="B213" s="21" t="s">
        <v>25</v>
      </c>
      <c r="C213" s="21" t="s">
        <v>26</v>
      </c>
      <c r="D213" s="21" t="s">
        <v>27</v>
      </c>
      <c r="E213" s="22" t="s">
        <v>23</v>
      </c>
      <c r="F213" s="20" t="s">
        <v>27</v>
      </c>
      <c r="G213" s="20" t="s">
        <v>27</v>
      </c>
    </row>
    <row r="214" ht="22" customHeight="1" spans="1:7" x14ac:dyDescent="0.25">
      <c r="A214" s="16" t="s">
        <v>36</v>
      </c>
      <c r="B214" s="17" t="s">
        <v>63</v>
      </c>
      <c r="C214" s="17" t="s">
        <v>146</v>
      </c>
      <c r="D214" s="17" t="s">
        <v>65</v>
      </c>
      <c r="E214" s="18">
        <v>16.1</v>
      </c>
      <c r="F214" s="19" t="s">
        <v>22</v>
      </c>
      <c r="G214" s="16" t="s">
        <v>23</v>
      </c>
    </row>
    <row r="215" ht="24" customHeight="1" spans="1:7" x14ac:dyDescent="0.25">
      <c r="A215" s="23" t="s">
        <v>38</v>
      </c>
      <c r="B215" s="23" t="s">
        <v>39</v>
      </c>
      <c r="C215" s="24" t="s">
        <v>40</v>
      </c>
      <c r="D215" s="24" t="s">
        <v>41</v>
      </c>
      <c r="E215" s="25">
        <f>SUM(E208,E210,E212,E214)</f>
        <v>131.8</v>
      </c>
      <c r="F215" s="23" t="str">
        <f>ROUND(E215/60, 1) &amp; " Saat"</f>
        <v>2.2 Saat</v>
      </c>
      <c r="G215" s="23" t="str">
        <f>COUNTIF(G208:G214, "X") &amp; "/4"</f>
        <v>0/4</v>
      </c>
    </row>
    <row r="216" ht="22" customHeight="1" spans="1:7" x14ac:dyDescent="0.25">
      <c r="A216" s="15" t="s">
        <v>67</v>
      </c>
      <c r="B216" s="15"/>
      <c r="C216" s="15"/>
      <c r="D216" s="15"/>
      <c r="E216" s="15"/>
      <c r="F216" s="15"/>
      <c r="G216" s="15"/>
    </row>
    <row r="217" ht="22" customHeight="1" spans="1:7" x14ac:dyDescent="0.25">
      <c r="A217" s="16" t="s">
        <v>18</v>
      </c>
      <c r="B217" s="17" t="s">
        <v>68</v>
      </c>
      <c r="C217" s="17" t="s">
        <v>147</v>
      </c>
      <c r="D217" s="17" t="s">
        <v>70</v>
      </c>
      <c r="E217" s="18">
        <v>50.8</v>
      </c>
      <c r="F217" s="19" t="s">
        <v>22</v>
      </c>
      <c r="G217" s="16" t="s">
        <v>23</v>
      </c>
    </row>
    <row r="218" ht="20" customHeight="1" spans="1:7" x14ac:dyDescent="0.25">
      <c r="A218" s="20" t="s">
        <v>24</v>
      </c>
      <c r="B218" s="21" t="s">
        <v>25</v>
      </c>
      <c r="C218" s="21" t="s">
        <v>26</v>
      </c>
      <c r="D218" s="21" t="s">
        <v>27</v>
      </c>
      <c r="E218" s="22" t="s">
        <v>23</v>
      </c>
      <c r="F218" s="20" t="s">
        <v>27</v>
      </c>
      <c r="G218" s="20" t="s">
        <v>27</v>
      </c>
    </row>
    <row r="219" ht="22" customHeight="1" spans="1:7" x14ac:dyDescent="0.25">
      <c r="A219" s="16" t="s">
        <v>28</v>
      </c>
      <c r="B219" s="17" t="s">
        <v>68</v>
      </c>
      <c r="C219" s="17" t="s">
        <v>148</v>
      </c>
      <c r="D219" s="17" t="s">
        <v>70</v>
      </c>
      <c r="E219" s="18">
        <v>66.1</v>
      </c>
      <c r="F219" s="19" t="s">
        <v>22</v>
      </c>
      <c r="G219" s="16" t="s">
        <v>23</v>
      </c>
    </row>
    <row r="220" ht="20" customHeight="1" spans="1:7" x14ac:dyDescent="0.25">
      <c r="A220" s="20" t="s">
        <v>30</v>
      </c>
      <c r="B220" s="21" t="s">
        <v>25</v>
      </c>
      <c r="C220" s="21" t="s">
        <v>26</v>
      </c>
      <c r="D220" s="21" t="s">
        <v>27</v>
      </c>
      <c r="E220" s="22" t="s">
        <v>23</v>
      </c>
      <c r="F220" s="20" t="s">
        <v>27</v>
      </c>
      <c r="G220" s="20" t="s">
        <v>27</v>
      </c>
    </row>
    <row r="221" ht="22" customHeight="1" spans="1:7" x14ac:dyDescent="0.25">
      <c r="A221" s="16" t="s">
        <v>31</v>
      </c>
      <c r="B221" s="17" t="s">
        <v>56</v>
      </c>
      <c r="C221" s="17" t="s">
        <v>149</v>
      </c>
      <c r="D221" s="17" t="s">
        <v>58</v>
      </c>
      <c r="E221" s="18">
        <v>48.9</v>
      </c>
      <c r="F221" s="19" t="s">
        <v>22</v>
      </c>
      <c r="G221" s="16" t="s">
        <v>23</v>
      </c>
    </row>
    <row r="222" ht="20" customHeight="1" spans="1:7" x14ac:dyDescent="0.25">
      <c r="A222" s="20" t="s">
        <v>35</v>
      </c>
      <c r="B222" s="21" t="s">
        <v>25</v>
      </c>
      <c r="C222" s="21" t="s">
        <v>26</v>
      </c>
      <c r="D222" s="21" t="s">
        <v>27</v>
      </c>
      <c r="E222" s="22" t="s">
        <v>23</v>
      </c>
      <c r="F222" s="20" t="s">
        <v>27</v>
      </c>
      <c r="G222" s="20" t="s">
        <v>27</v>
      </c>
    </row>
    <row r="223" ht="22" customHeight="1" spans="1:7" x14ac:dyDescent="0.25">
      <c r="A223" s="16" t="s">
        <v>36</v>
      </c>
      <c r="B223" s="17" t="s">
        <v>56</v>
      </c>
      <c r="C223" s="17" t="s">
        <v>150</v>
      </c>
      <c r="D223" s="17" t="s">
        <v>58</v>
      </c>
      <c r="E223" s="18">
        <v>17.9</v>
      </c>
      <c r="F223" s="19" t="s">
        <v>22</v>
      </c>
      <c r="G223" s="16" t="s">
        <v>23</v>
      </c>
    </row>
    <row r="224" ht="24" customHeight="1" spans="1:7" x14ac:dyDescent="0.25">
      <c r="A224" s="23" t="s">
        <v>38</v>
      </c>
      <c r="B224" s="23" t="s">
        <v>39</v>
      </c>
      <c r="C224" s="24" t="s">
        <v>40</v>
      </c>
      <c r="D224" s="24" t="s">
        <v>41</v>
      </c>
      <c r="E224" s="25">
        <f>SUM(E217,E219,E221,E223)</f>
        <v>183.7</v>
      </c>
      <c r="F224" s="23" t="str">
        <f>ROUND(E224/60, 1) &amp; " Saat"</f>
        <v>3.1 Saat</v>
      </c>
      <c r="G224" s="23" t="str">
        <f>COUNTIF(G217:G223, "X") &amp; "/4"</f>
        <v>0/4</v>
      </c>
    </row>
    <row r="225" ht="22" customHeight="1" spans="1:7" x14ac:dyDescent="0.25">
      <c r="A225" s="15" t="s">
        <v>74</v>
      </c>
      <c r="B225" s="15"/>
      <c r="C225" s="15"/>
      <c r="D225" s="15"/>
      <c r="E225" s="15"/>
      <c r="F225" s="15"/>
      <c r="G225" s="15"/>
    </row>
    <row r="226" ht="22" customHeight="1" spans="1:7" x14ac:dyDescent="0.25">
      <c r="A226" s="16" t="s">
        <v>18</v>
      </c>
      <c r="B226" s="17" t="s">
        <v>47</v>
      </c>
      <c r="C226" s="17" t="s">
        <v>151</v>
      </c>
      <c r="D226" s="17" t="s">
        <v>49</v>
      </c>
      <c r="E226" s="18">
        <v>35.3</v>
      </c>
      <c r="F226" s="19" t="s">
        <v>22</v>
      </c>
      <c r="G226" s="16" t="s">
        <v>23</v>
      </c>
    </row>
    <row r="227" ht="20" customHeight="1" spans="1:7" x14ac:dyDescent="0.25">
      <c r="A227" s="20" t="s">
        <v>24</v>
      </c>
      <c r="B227" s="21" t="s">
        <v>25</v>
      </c>
      <c r="C227" s="21" t="s">
        <v>26</v>
      </c>
      <c r="D227" s="21" t="s">
        <v>27</v>
      </c>
      <c r="E227" s="22" t="s">
        <v>23</v>
      </c>
      <c r="F227" s="20" t="s">
        <v>27</v>
      </c>
      <c r="G227" s="20" t="s">
        <v>27</v>
      </c>
    </row>
    <row r="228" ht="22" customHeight="1" spans="1:7" x14ac:dyDescent="0.25">
      <c r="A228" s="16" t="s">
        <v>28</v>
      </c>
      <c r="B228" s="17" t="s">
        <v>47</v>
      </c>
      <c r="C228" s="17" t="s">
        <v>152</v>
      </c>
      <c r="D228" s="17" t="s">
        <v>49</v>
      </c>
      <c r="E228" s="18">
        <v>35.4</v>
      </c>
      <c r="F228" s="19" t="s">
        <v>22</v>
      </c>
      <c r="G228" s="16" t="s">
        <v>23</v>
      </c>
    </row>
    <row r="229" ht="20" customHeight="1" spans="1:7" x14ac:dyDescent="0.25">
      <c r="A229" s="20" t="s">
        <v>30</v>
      </c>
      <c r="B229" s="21" t="s">
        <v>25</v>
      </c>
      <c r="C229" s="21" t="s">
        <v>26</v>
      </c>
      <c r="D229" s="21" t="s">
        <v>27</v>
      </c>
      <c r="E229" s="22" t="s">
        <v>23</v>
      </c>
      <c r="F229" s="20" t="s">
        <v>27</v>
      </c>
      <c r="G229" s="20" t="s">
        <v>27</v>
      </c>
    </row>
    <row r="230" ht="22" customHeight="1" spans="1:7" x14ac:dyDescent="0.25">
      <c r="A230" s="16" t="s">
        <v>31</v>
      </c>
      <c r="B230" s="17" t="s">
        <v>52</v>
      </c>
      <c r="C230" s="17" t="s">
        <v>153</v>
      </c>
      <c r="D230" s="17" t="s">
        <v>54</v>
      </c>
      <c r="E230" s="18">
        <v>16.4</v>
      </c>
      <c r="F230" s="19" t="s">
        <v>22</v>
      </c>
      <c r="G230" s="16" t="s">
        <v>23</v>
      </c>
    </row>
    <row r="231" ht="20" customHeight="1" spans="1:7" x14ac:dyDescent="0.25">
      <c r="A231" s="20" t="s">
        <v>35</v>
      </c>
      <c r="B231" s="21" t="s">
        <v>25</v>
      </c>
      <c r="C231" s="21" t="s">
        <v>26</v>
      </c>
      <c r="D231" s="21" t="s">
        <v>27</v>
      </c>
      <c r="E231" s="22" t="s">
        <v>23</v>
      </c>
      <c r="F231" s="20" t="s">
        <v>27</v>
      </c>
      <c r="G231" s="20" t="s">
        <v>27</v>
      </c>
    </row>
    <row r="232" ht="22" customHeight="1" spans="1:7" x14ac:dyDescent="0.25">
      <c r="A232" s="16" t="s">
        <v>36</v>
      </c>
      <c r="B232" s="17" t="s">
        <v>52</v>
      </c>
      <c r="C232" s="17" t="s">
        <v>154</v>
      </c>
      <c r="D232" s="17" t="s">
        <v>54</v>
      </c>
      <c r="E232" s="18">
        <v>36.1</v>
      </c>
      <c r="F232" s="19" t="s">
        <v>22</v>
      </c>
      <c r="G232" s="16" t="s">
        <v>23</v>
      </c>
    </row>
    <row r="233" ht="24" customHeight="1" spans="1:7" x14ac:dyDescent="0.25">
      <c r="A233" s="23" t="s">
        <v>38</v>
      </c>
      <c r="B233" s="23" t="s">
        <v>39</v>
      </c>
      <c r="C233" s="24" t="s">
        <v>40</v>
      </c>
      <c r="D233" s="24" t="s">
        <v>41</v>
      </c>
      <c r="E233" s="25">
        <f>SUM(E226,E228,E230,E232)</f>
        <v>123.2</v>
      </c>
      <c r="F233" s="23" t="str">
        <f>ROUND(E233/60, 1) &amp; " Saat"</f>
        <v>2.1 Saat</v>
      </c>
      <c r="G233" s="23" t="str">
        <f>COUNTIF(G226:G232, "X") &amp; "/4"</f>
        <v>0/4</v>
      </c>
    </row>
    <row r="234" ht="28" customHeight="1" spans="1:7" x14ac:dyDescent="0.25">
      <c r="A234" s="26" t="s">
        <v>79</v>
      </c>
      <c r="B234" s="26"/>
      <c r="C234" s="26"/>
      <c r="D234" s="26"/>
      <c r="E234" s="26"/>
      <c r="F234" s="26"/>
      <c r="G234" s="26"/>
    </row>
    <row r="235" ht="8" customHeight="1" x14ac:dyDescent="0.25"/>
    <row r="236" ht="25" customHeight="1" spans="1:7" x14ac:dyDescent="0.25">
      <c r="A236" s="14" t="s">
        <v>155</v>
      </c>
      <c r="B236" s="14"/>
      <c r="C236" s="14"/>
      <c r="D236" s="14"/>
      <c r="E236" s="14"/>
      <c r="F236" s="14"/>
      <c r="G236" s="14"/>
    </row>
    <row r="237" ht="22" customHeight="1" spans="1:7" x14ac:dyDescent="0.25">
      <c r="A237" s="15" t="s">
        <v>17</v>
      </c>
      <c r="B237" s="15"/>
      <c r="C237" s="15"/>
      <c r="D237" s="15"/>
      <c r="E237" s="15"/>
      <c r="F237" s="15"/>
      <c r="G237" s="15"/>
    </row>
    <row r="238" ht="22" customHeight="1" spans="1:7" x14ac:dyDescent="0.25">
      <c r="A238" s="16" t="s">
        <v>18</v>
      </c>
      <c r="B238" s="17" t="s">
        <v>19</v>
      </c>
      <c r="C238" s="17" t="s">
        <v>156</v>
      </c>
      <c r="D238" s="17" t="s">
        <v>21</v>
      </c>
      <c r="E238" s="18">
        <v>36.2</v>
      </c>
      <c r="F238" s="19" t="s">
        <v>22</v>
      </c>
      <c r="G238" s="16" t="s">
        <v>23</v>
      </c>
    </row>
    <row r="239" ht="20" customHeight="1" spans="1:7" x14ac:dyDescent="0.25">
      <c r="A239" s="20" t="s">
        <v>24</v>
      </c>
      <c r="B239" s="21" t="s">
        <v>25</v>
      </c>
      <c r="C239" s="21" t="s">
        <v>26</v>
      </c>
      <c r="D239" s="21" t="s">
        <v>27</v>
      </c>
      <c r="E239" s="22" t="s">
        <v>23</v>
      </c>
      <c r="F239" s="20" t="s">
        <v>27</v>
      </c>
      <c r="G239" s="20" t="s">
        <v>27</v>
      </c>
    </row>
    <row r="240" ht="22" customHeight="1" spans="1:7" x14ac:dyDescent="0.25">
      <c r="A240" s="16" t="s">
        <v>28</v>
      </c>
      <c r="B240" s="17" t="s">
        <v>19</v>
      </c>
      <c r="C240" s="17" t="s">
        <v>157</v>
      </c>
      <c r="D240" s="17" t="s">
        <v>21</v>
      </c>
      <c r="E240" s="18">
        <v>26.6</v>
      </c>
      <c r="F240" s="19" t="s">
        <v>22</v>
      </c>
      <c r="G240" s="16" t="s">
        <v>23</v>
      </c>
    </row>
    <row r="241" ht="20" customHeight="1" spans="1:7" x14ac:dyDescent="0.25">
      <c r="A241" s="20" t="s">
        <v>30</v>
      </c>
      <c r="B241" s="21" t="s">
        <v>25</v>
      </c>
      <c r="C241" s="21" t="s">
        <v>26</v>
      </c>
      <c r="D241" s="21" t="s">
        <v>27</v>
      </c>
      <c r="E241" s="22" t="s">
        <v>23</v>
      </c>
      <c r="F241" s="20" t="s">
        <v>27</v>
      </c>
      <c r="G241" s="20" t="s">
        <v>27</v>
      </c>
    </row>
    <row r="242" ht="22" customHeight="1" spans="1:7" x14ac:dyDescent="0.25">
      <c r="A242" s="16" t="s">
        <v>31</v>
      </c>
      <c r="B242" s="17" t="s">
        <v>32</v>
      </c>
      <c r="C242" s="17" t="s">
        <v>158</v>
      </c>
      <c r="D242" s="17" t="s">
        <v>34</v>
      </c>
      <c r="E242" s="18">
        <v>36.4</v>
      </c>
      <c r="F242" s="19" t="s">
        <v>22</v>
      </c>
      <c r="G242" s="16" t="s">
        <v>23</v>
      </c>
    </row>
    <row r="243" ht="20" customHeight="1" spans="1:7" x14ac:dyDescent="0.25">
      <c r="A243" s="20" t="s">
        <v>35</v>
      </c>
      <c r="B243" s="21" t="s">
        <v>25</v>
      </c>
      <c r="C243" s="21" t="s">
        <v>26</v>
      </c>
      <c r="D243" s="21" t="s">
        <v>27</v>
      </c>
      <c r="E243" s="22" t="s">
        <v>23</v>
      </c>
      <c r="F243" s="20" t="s">
        <v>27</v>
      </c>
      <c r="G243" s="20" t="s">
        <v>27</v>
      </c>
    </row>
    <row r="244" ht="22" customHeight="1" spans="1:7" x14ac:dyDescent="0.25">
      <c r="A244" s="16" t="s">
        <v>36</v>
      </c>
      <c r="B244" s="17" t="s">
        <v>32</v>
      </c>
      <c r="C244" s="17" t="s">
        <v>159</v>
      </c>
      <c r="D244" s="17" t="s">
        <v>34</v>
      </c>
      <c r="E244" s="18">
        <v>35.5</v>
      </c>
      <c r="F244" s="19" t="s">
        <v>22</v>
      </c>
      <c r="G244" s="16" t="s">
        <v>23</v>
      </c>
    </row>
    <row r="245" ht="24" customHeight="1" spans="1:7" x14ac:dyDescent="0.25">
      <c r="A245" s="23" t="s">
        <v>38</v>
      </c>
      <c r="B245" s="23" t="s">
        <v>39</v>
      </c>
      <c r="C245" s="24" t="s">
        <v>40</v>
      </c>
      <c r="D245" s="24" t="s">
        <v>41</v>
      </c>
      <c r="E245" s="25">
        <f>SUM(E238,E240,E242,E244)</f>
        <v>134.7</v>
      </c>
      <c r="F245" s="23" t="str">
        <f>ROUND(E245/60, 1) &amp; " Saat"</f>
        <v>2.2 Saat</v>
      </c>
      <c r="G245" s="23" t="str">
        <f>COUNTIF(G238:G244, "X") &amp; "/4"</f>
        <v>0/4</v>
      </c>
    </row>
    <row r="246" ht="22" customHeight="1" spans="1:7" x14ac:dyDescent="0.25">
      <c r="A246" s="15" t="s">
        <v>42</v>
      </c>
      <c r="B246" s="15"/>
      <c r="C246" s="15"/>
      <c r="D246" s="15"/>
      <c r="E246" s="15"/>
      <c r="F246" s="15"/>
      <c r="G246" s="15"/>
    </row>
    <row r="247" ht="22" customHeight="1" spans="1:7" x14ac:dyDescent="0.25">
      <c r="A247" s="16" t="s">
        <v>18</v>
      </c>
      <c r="B247" s="17" t="s">
        <v>43</v>
      </c>
      <c r="C247" s="17" t="s">
        <v>160</v>
      </c>
      <c r="D247" s="17" t="s">
        <v>45</v>
      </c>
      <c r="E247" s="18">
        <v>43.6</v>
      </c>
      <c r="F247" s="19" t="s">
        <v>22</v>
      </c>
      <c r="G247" s="16" t="s">
        <v>23</v>
      </c>
    </row>
    <row r="248" ht="20" customHeight="1" spans="1:7" x14ac:dyDescent="0.25">
      <c r="A248" s="20" t="s">
        <v>24</v>
      </c>
      <c r="B248" s="21" t="s">
        <v>25</v>
      </c>
      <c r="C248" s="21" t="s">
        <v>26</v>
      </c>
      <c r="D248" s="21" t="s">
        <v>27</v>
      </c>
      <c r="E248" s="22" t="s">
        <v>23</v>
      </c>
      <c r="F248" s="20" t="s">
        <v>27</v>
      </c>
      <c r="G248" s="20" t="s">
        <v>27</v>
      </c>
    </row>
    <row r="249" ht="22" customHeight="1" spans="1:7" x14ac:dyDescent="0.25">
      <c r="A249" s="16" t="s">
        <v>28</v>
      </c>
      <c r="B249" s="17" t="s">
        <v>43</v>
      </c>
      <c r="C249" s="17" t="s">
        <v>161</v>
      </c>
      <c r="D249" s="17" t="s">
        <v>45</v>
      </c>
      <c r="E249" s="18">
        <v>62.1</v>
      </c>
      <c r="F249" s="19" t="s">
        <v>22</v>
      </c>
      <c r="G249" s="16" t="s">
        <v>23</v>
      </c>
    </row>
    <row r="250" ht="20" customHeight="1" spans="1:7" x14ac:dyDescent="0.25">
      <c r="A250" s="20" t="s">
        <v>30</v>
      </c>
      <c r="B250" s="21" t="s">
        <v>25</v>
      </c>
      <c r="C250" s="21" t="s">
        <v>26</v>
      </c>
      <c r="D250" s="21" t="s">
        <v>27</v>
      </c>
      <c r="E250" s="22" t="s">
        <v>23</v>
      </c>
      <c r="F250" s="20" t="s">
        <v>27</v>
      </c>
      <c r="G250" s="20" t="s">
        <v>27</v>
      </c>
    </row>
    <row r="251" ht="22" customHeight="1" spans="1:7" x14ac:dyDescent="0.25">
      <c r="A251" s="16" t="s">
        <v>31</v>
      </c>
      <c r="B251" s="17" t="s">
        <v>47</v>
      </c>
      <c r="C251" s="17" t="s">
        <v>162</v>
      </c>
      <c r="D251" s="17" t="s">
        <v>49</v>
      </c>
      <c r="E251" s="18">
        <v>30</v>
      </c>
      <c r="F251" s="19" t="s">
        <v>22</v>
      </c>
      <c r="G251" s="16" t="s">
        <v>23</v>
      </c>
    </row>
    <row r="252" ht="20" customHeight="1" spans="1:7" x14ac:dyDescent="0.25">
      <c r="A252" s="20" t="s">
        <v>35</v>
      </c>
      <c r="B252" s="21" t="s">
        <v>25</v>
      </c>
      <c r="C252" s="21" t="s">
        <v>26</v>
      </c>
      <c r="D252" s="21" t="s">
        <v>27</v>
      </c>
      <c r="E252" s="22" t="s">
        <v>23</v>
      </c>
      <c r="F252" s="20" t="s">
        <v>27</v>
      </c>
      <c r="G252" s="20" t="s">
        <v>27</v>
      </c>
    </row>
    <row r="253" ht="22" customHeight="1" spans="1:7" x14ac:dyDescent="0.25">
      <c r="A253" s="16" t="s">
        <v>36</v>
      </c>
      <c r="B253" s="17" t="s">
        <v>47</v>
      </c>
      <c r="C253" s="17" t="s">
        <v>163</v>
      </c>
      <c r="D253" s="17" t="s">
        <v>49</v>
      </c>
      <c r="E253" s="18">
        <v>33</v>
      </c>
      <c r="F253" s="19" t="s">
        <v>22</v>
      </c>
      <c r="G253" s="16" t="s">
        <v>23</v>
      </c>
    </row>
    <row r="254" ht="24" customHeight="1" spans="1:7" x14ac:dyDescent="0.25">
      <c r="A254" s="23" t="s">
        <v>38</v>
      </c>
      <c r="B254" s="23" t="s">
        <v>39</v>
      </c>
      <c r="C254" s="24" t="s">
        <v>40</v>
      </c>
      <c r="D254" s="24" t="s">
        <v>41</v>
      </c>
      <c r="E254" s="25">
        <f>SUM(E247,E249,E251,E253)</f>
        <v>168.7</v>
      </c>
      <c r="F254" s="23" t="str">
        <f>ROUND(E254/60, 1) &amp; " Saat"</f>
        <v>2.8 Saat</v>
      </c>
      <c r="G254" s="23" t="str">
        <f>COUNTIF(G247:G253, "X") &amp; "/4"</f>
        <v>0/4</v>
      </c>
    </row>
    <row r="255" ht="22" customHeight="1" spans="1:7" x14ac:dyDescent="0.25">
      <c r="A255" s="15" t="s">
        <v>51</v>
      </c>
      <c r="B255" s="15"/>
      <c r="C255" s="15"/>
      <c r="D255" s="15"/>
      <c r="E255" s="15"/>
      <c r="F255" s="15"/>
      <c r="G255" s="15"/>
    </row>
    <row r="256" ht="22" customHeight="1" spans="1:7" x14ac:dyDescent="0.25">
      <c r="A256" s="16" t="s">
        <v>18</v>
      </c>
      <c r="B256" s="17" t="s">
        <v>52</v>
      </c>
      <c r="C256" s="17" t="s">
        <v>164</v>
      </c>
      <c r="D256" s="17" t="s">
        <v>54</v>
      </c>
      <c r="E256" s="18">
        <v>25.9</v>
      </c>
      <c r="F256" s="19" t="s">
        <v>22</v>
      </c>
      <c r="G256" s="16" t="s">
        <v>23</v>
      </c>
    </row>
    <row r="257" ht="20" customHeight="1" spans="1:7" x14ac:dyDescent="0.25">
      <c r="A257" s="20" t="s">
        <v>24</v>
      </c>
      <c r="B257" s="21" t="s">
        <v>25</v>
      </c>
      <c r="C257" s="21" t="s">
        <v>26</v>
      </c>
      <c r="D257" s="21" t="s">
        <v>27</v>
      </c>
      <c r="E257" s="22" t="s">
        <v>23</v>
      </c>
      <c r="F257" s="20" t="s">
        <v>27</v>
      </c>
      <c r="G257" s="20" t="s">
        <v>27</v>
      </c>
    </row>
    <row r="258" ht="22" customHeight="1" spans="1:7" x14ac:dyDescent="0.25">
      <c r="A258" s="16" t="s">
        <v>28</v>
      </c>
      <c r="B258" s="17" t="s">
        <v>52</v>
      </c>
      <c r="C258" s="17" t="s">
        <v>165</v>
      </c>
      <c r="D258" s="17" t="s">
        <v>54</v>
      </c>
      <c r="E258" s="18">
        <v>28.6</v>
      </c>
      <c r="F258" s="19" t="s">
        <v>22</v>
      </c>
      <c r="G258" s="16" t="s">
        <v>23</v>
      </c>
    </row>
    <row r="259" ht="20" customHeight="1" spans="1:7" x14ac:dyDescent="0.25">
      <c r="A259" s="20" t="s">
        <v>30</v>
      </c>
      <c r="B259" s="21" t="s">
        <v>25</v>
      </c>
      <c r="C259" s="21" t="s">
        <v>26</v>
      </c>
      <c r="D259" s="21" t="s">
        <v>27</v>
      </c>
      <c r="E259" s="22" t="s">
        <v>23</v>
      </c>
      <c r="F259" s="20" t="s">
        <v>27</v>
      </c>
      <c r="G259" s="20" t="s">
        <v>27</v>
      </c>
    </row>
    <row r="260" ht="22" customHeight="1" spans="1:7" x14ac:dyDescent="0.25">
      <c r="A260" s="16" t="s">
        <v>31</v>
      </c>
      <c r="B260" s="17" t="s">
        <v>56</v>
      </c>
      <c r="C260" s="17" t="s">
        <v>166</v>
      </c>
      <c r="D260" s="17" t="s">
        <v>58</v>
      </c>
      <c r="E260" s="18">
        <v>31.4</v>
      </c>
      <c r="F260" s="19" t="s">
        <v>22</v>
      </c>
      <c r="G260" s="16" t="s">
        <v>23</v>
      </c>
    </row>
    <row r="261" ht="20" customHeight="1" spans="1:7" x14ac:dyDescent="0.25">
      <c r="A261" s="20" t="s">
        <v>35</v>
      </c>
      <c r="B261" s="21" t="s">
        <v>25</v>
      </c>
      <c r="C261" s="21" t="s">
        <v>26</v>
      </c>
      <c r="D261" s="21" t="s">
        <v>27</v>
      </c>
      <c r="E261" s="22" t="s">
        <v>23</v>
      </c>
      <c r="F261" s="20" t="s">
        <v>27</v>
      </c>
      <c r="G261" s="20" t="s">
        <v>27</v>
      </c>
    </row>
    <row r="262" ht="22" customHeight="1" spans="1:7" x14ac:dyDescent="0.25">
      <c r="A262" s="16" t="s">
        <v>36</v>
      </c>
      <c r="B262" s="17" t="s">
        <v>56</v>
      </c>
      <c r="C262" s="17" t="s">
        <v>167</v>
      </c>
      <c r="D262" s="17" t="s">
        <v>58</v>
      </c>
      <c r="E262" s="18">
        <v>24.9</v>
      </c>
      <c r="F262" s="19" t="s">
        <v>22</v>
      </c>
      <c r="G262" s="16" t="s">
        <v>23</v>
      </c>
    </row>
    <row r="263" ht="24" customHeight="1" spans="1:7" x14ac:dyDescent="0.25">
      <c r="A263" s="23" t="s">
        <v>38</v>
      </c>
      <c r="B263" s="23" t="s">
        <v>39</v>
      </c>
      <c r="C263" s="24" t="s">
        <v>40</v>
      </c>
      <c r="D263" s="24" t="s">
        <v>41</v>
      </c>
      <c r="E263" s="25">
        <f>SUM(E256,E258,E260,E262)</f>
        <v>110.8</v>
      </c>
      <c r="F263" s="23" t="str">
        <f>ROUND(E263/60, 1) &amp; " Saat"</f>
        <v>1.8 Saat</v>
      </c>
      <c r="G263" s="23" t="str">
        <f>COUNTIF(G256:G262, "X") &amp; "/4"</f>
        <v>0/4</v>
      </c>
    </row>
    <row r="264" ht="22" customHeight="1" spans="1:7" x14ac:dyDescent="0.25">
      <c r="A264" s="15" t="s">
        <v>60</v>
      </c>
      <c r="B264" s="15"/>
      <c r="C264" s="15"/>
      <c r="D264" s="15"/>
      <c r="E264" s="15"/>
      <c r="F264" s="15"/>
      <c r="G264" s="15"/>
    </row>
    <row r="265" ht="22" customHeight="1" spans="1:7" x14ac:dyDescent="0.25">
      <c r="A265" s="16" t="s">
        <v>18</v>
      </c>
      <c r="B265" s="17" t="s">
        <v>43</v>
      </c>
      <c r="C265" s="17" t="s">
        <v>168</v>
      </c>
      <c r="D265" s="17" t="s">
        <v>45</v>
      </c>
      <c r="E265" s="18">
        <v>58.9</v>
      </c>
      <c r="F265" s="19" t="s">
        <v>22</v>
      </c>
      <c r="G265" s="16" t="s">
        <v>23</v>
      </c>
    </row>
    <row r="266" ht="20" customHeight="1" spans="1:7" x14ac:dyDescent="0.25">
      <c r="A266" s="20" t="s">
        <v>24</v>
      </c>
      <c r="B266" s="21" t="s">
        <v>25</v>
      </c>
      <c r="C266" s="21" t="s">
        <v>26</v>
      </c>
      <c r="D266" s="21" t="s">
        <v>27</v>
      </c>
      <c r="E266" s="22" t="s">
        <v>23</v>
      </c>
      <c r="F266" s="20" t="s">
        <v>27</v>
      </c>
      <c r="G266" s="20" t="s">
        <v>27</v>
      </c>
    </row>
    <row r="267" ht="22" customHeight="1" spans="1:7" x14ac:dyDescent="0.25">
      <c r="A267" s="16" t="s">
        <v>28</v>
      </c>
      <c r="B267" s="17" t="s">
        <v>43</v>
      </c>
      <c r="C267" s="17" t="s">
        <v>169</v>
      </c>
      <c r="D267" s="17" t="s">
        <v>45</v>
      </c>
      <c r="E267" s="18">
        <v>30.9</v>
      </c>
      <c r="F267" s="19" t="s">
        <v>22</v>
      </c>
      <c r="G267" s="16" t="s">
        <v>23</v>
      </c>
    </row>
    <row r="268" ht="20" customHeight="1" spans="1:7" x14ac:dyDescent="0.25">
      <c r="A268" s="20" t="s">
        <v>30</v>
      </c>
      <c r="B268" s="21" t="s">
        <v>25</v>
      </c>
      <c r="C268" s="21" t="s">
        <v>26</v>
      </c>
      <c r="D268" s="21" t="s">
        <v>27</v>
      </c>
      <c r="E268" s="22" t="s">
        <v>23</v>
      </c>
      <c r="F268" s="20" t="s">
        <v>27</v>
      </c>
      <c r="G268" s="20" t="s">
        <v>27</v>
      </c>
    </row>
    <row r="269" ht="22" customHeight="1" spans="1:7" x14ac:dyDescent="0.25">
      <c r="A269" s="16" t="s">
        <v>31</v>
      </c>
      <c r="B269" s="17" t="s">
        <v>63</v>
      </c>
      <c r="C269" s="17" t="s">
        <v>170</v>
      </c>
      <c r="D269" s="17" t="s">
        <v>65</v>
      </c>
      <c r="E269" s="18">
        <v>52.6</v>
      </c>
      <c r="F269" s="19" t="s">
        <v>22</v>
      </c>
      <c r="G269" s="16" t="s">
        <v>23</v>
      </c>
    </row>
    <row r="270" ht="20" customHeight="1" spans="1:7" x14ac:dyDescent="0.25">
      <c r="A270" s="20" t="s">
        <v>35</v>
      </c>
      <c r="B270" s="21" t="s">
        <v>25</v>
      </c>
      <c r="C270" s="21" t="s">
        <v>26</v>
      </c>
      <c r="D270" s="21" t="s">
        <v>27</v>
      </c>
      <c r="E270" s="22" t="s">
        <v>23</v>
      </c>
      <c r="F270" s="20" t="s">
        <v>27</v>
      </c>
      <c r="G270" s="20" t="s">
        <v>27</v>
      </c>
    </row>
    <row r="271" ht="22" customHeight="1" spans="1:7" x14ac:dyDescent="0.25">
      <c r="A271" s="16" t="s">
        <v>36</v>
      </c>
      <c r="B271" s="17" t="s">
        <v>63</v>
      </c>
      <c r="C271" s="17" t="s">
        <v>171</v>
      </c>
      <c r="D271" s="17" t="s">
        <v>65</v>
      </c>
      <c r="E271" s="18">
        <v>21</v>
      </c>
      <c r="F271" s="19" t="s">
        <v>22</v>
      </c>
      <c r="G271" s="16" t="s">
        <v>23</v>
      </c>
    </row>
    <row r="272" ht="24" customHeight="1" spans="1:7" x14ac:dyDescent="0.25">
      <c r="A272" s="23" t="s">
        <v>38</v>
      </c>
      <c r="B272" s="23" t="s">
        <v>39</v>
      </c>
      <c r="C272" s="24" t="s">
        <v>40</v>
      </c>
      <c r="D272" s="24" t="s">
        <v>41</v>
      </c>
      <c r="E272" s="25">
        <f>SUM(E265,E267,E269,E271)</f>
        <v>163.4</v>
      </c>
      <c r="F272" s="23" t="str">
        <f>ROUND(E272/60, 1) &amp; " Saat"</f>
        <v>2.7 Saat</v>
      </c>
      <c r="G272" s="23" t="str">
        <f>COUNTIF(G265:G271, "X") &amp; "/4"</f>
        <v>0/4</v>
      </c>
    </row>
    <row r="273" ht="22" customHeight="1" spans="1:7" x14ac:dyDescent="0.25">
      <c r="A273" s="15" t="s">
        <v>67</v>
      </c>
      <c r="B273" s="15"/>
      <c r="C273" s="15"/>
      <c r="D273" s="15"/>
      <c r="E273" s="15"/>
      <c r="F273" s="15"/>
      <c r="G273" s="15"/>
    </row>
    <row r="274" ht="22" customHeight="1" spans="1:7" x14ac:dyDescent="0.25">
      <c r="A274" s="16" t="s">
        <v>18</v>
      </c>
      <c r="B274" s="17" t="s">
        <v>68</v>
      </c>
      <c r="C274" s="17" t="s">
        <v>172</v>
      </c>
      <c r="D274" s="17" t="s">
        <v>70</v>
      </c>
      <c r="E274" s="18">
        <v>38.8</v>
      </c>
      <c r="F274" s="19" t="s">
        <v>22</v>
      </c>
      <c r="G274" s="16" t="s">
        <v>23</v>
      </c>
    </row>
    <row r="275" ht="20" customHeight="1" spans="1:7" x14ac:dyDescent="0.25">
      <c r="A275" s="20" t="s">
        <v>24</v>
      </c>
      <c r="B275" s="21" t="s">
        <v>25</v>
      </c>
      <c r="C275" s="21" t="s">
        <v>26</v>
      </c>
      <c r="D275" s="21" t="s">
        <v>27</v>
      </c>
      <c r="E275" s="22" t="s">
        <v>23</v>
      </c>
      <c r="F275" s="20" t="s">
        <v>27</v>
      </c>
      <c r="G275" s="20" t="s">
        <v>27</v>
      </c>
    </row>
    <row r="276" ht="22" customHeight="1" spans="1:7" x14ac:dyDescent="0.25">
      <c r="A276" s="16" t="s">
        <v>28</v>
      </c>
      <c r="B276" s="17" t="s">
        <v>68</v>
      </c>
      <c r="C276" s="17" t="s">
        <v>173</v>
      </c>
      <c r="D276" s="17" t="s">
        <v>70</v>
      </c>
      <c r="E276" s="18">
        <v>32.4</v>
      </c>
      <c r="F276" s="19" t="s">
        <v>22</v>
      </c>
      <c r="G276" s="16" t="s">
        <v>23</v>
      </c>
    </row>
    <row r="277" ht="20" customHeight="1" spans="1:7" x14ac:dyDescent="0.25">
      <c r="A277" s="20" t="s">
        <v>30</v>
      </c>
      <c r="B277" s="21" t="s">
        <v>25</v>
      </c>
      <c r="C277" s="21" t="s">
        <v>26</v>
      </c>
      <c r="D277" s="21" t="s">
        <v>27</v>
      </c>
      <c r="E277" s="22" t="s">
        <v>23</v>
      </c>
      <c r="F277" s="20" t="s">
        <v>27</v>
      </c>
      <c r="G277" s="20" t="s">
        <v>27</v>
      </c>
    </row>
    <row r="278" ht="22" customHeight="1" spans="1:7" x14ac:dyDescent="0.25">
      <c r="A278" s="16" t="s">
        <v>31</v>
      </c>
      <c r="B278" s="17" t="s">
        <v>56</v>
      </c>
      <c r="C278" s="17" t="s">
        <v>174</v>
      </c>
      <c r="D278" s="17" t="s">
        <v>58</v>
      </c>
      <c r="E278" s="18">
        <v>13.6</v>
      </c>
      <c r="F278" s="19" t="s">
        <v>22</v>
      </c>
      <c r="G278" s="16" t="s">
        <v>23</v>
      </c>
    </row>
    <row r="279" ht="20" customHeight="1" spans="1:7" x14ac:dyDescent="0.25">
      <c r="A279" s="20" t="s">
        <v>35</v>
      </c>
      <c r="B279" s="21" t="s">
        <v>25</v>
      </c>
      <c r="C279" s="21" t="s">
        <v>26</v>
      </c>
      <c r="D279" s="21" t="s">
        <v>27</v>
      </c>
      <c r="E279" s="22" t="s">
        <v>23</v>
      </c>
      <c r="F279" s="20" t="s">
        <v>27</v>
      </c>
      <c r="G279" s="20" t="s">
        <v>27</v>
      </c>
    </row>
    <row r="280" ht="22" customHeight="1" spans="1:7" x14ac:dyDescent="0.25">
      <c r="A280" s="16" t="s">
        <v>36</v>
      </c>
      <c r="B280" s="17" t="s">
        <v>56</v>
      </c>
      <c r="C280" s="17" t="s">
        <v>175</v>
      </c>
      <c r="D280" s="17" t="s">
        <v>58</v>
      </c>
      <c r="E280" s="18">
        <v>12.4</v>
      </c>
      <c r="F280" s="19" t="s">
        <v>22</v>
      </c>
      <c r="G280" s="16" t="s">
        <v>23</v>
      </c>
    </row>
    <row r="281" ht="24" customHeight="1" spans="1:7" x14ac:dyDescent="0.25">
      <c r="A281" s="23" t="s">
        <v>38</v>
      </c>
      <c r="B281" s="23" t="s">
        <v>39</v>
      </c>
      <c r="C281" s="24" t="s">
        <v>40</v>
      </c>
      <c r="D281" s="24" t="s">
        <v>41</v>
      </c>
      <c r="E281" s="25">
        <f>SUM(E274,E276,E278,E280)</f>
        <v>97.2</v>
      </c>
      <c r="F281" s="23" t="str">
        <f>ROUND(E281/60, 1) &amp; " Saat"</f>
        <v>1.6 Saat</v>
      </c>
      <c r="G281" s="23" t="str">
        <f>COUNTIF(G274:G280, "X") &amp; "/4"</f>
        <v>0/4</v>
      </c>
    </row>
    <row r="282" ht="22" customHeight="1" spans="1:7" x14ac:dyDescent="0.25">
      <c r="A282" s="15" t="s">
        <v>74</v>
      </c>
      <c r="B282" s="15"/>
      <c r="C282" s="15"/>
      <c r="D282" s="15"/>
      <c r="E282" s="15"/>
      <c r="F282" s="15"/>
      <c r="G282" s="15"/>
    </row>
    <row r="283" ht="22" customHeight="1" spans="1:7" x14ac:dyDescent="0.25">
      <c r="A283" s="16" t="s">
        <v>18</v>
      </c>
      <c r="B283" s="17" t="s">
        <v>47</v>
      </c>
      <c r="C283" s="17" t="s">
        <v>176</v>
      </c>
      <c r="D283" s="17" t="s">
        <v>49</v>
      </c>
      <c r="E283" s="18">
        <v>26.1</v>
      </c>
      <c r="F283" s="19" t="s">
        <v>22</v>
      </c>
      <c r="G283" s="16" t="s">
        <v>23</v>
      </c>
    </row>
    <row r="284" ht="20" customHeight="1" spans="1:7" x14ac:dyDescent="0.25">
      <c r="A284" s="20" t="s">
        <v>24</v>
      </c>
      <c r="B284" s="21" t="s">
        <v>25</v>
      </c>
      <c r="C284" s="21" t="s">
        <v>26</v>
      </c>
      <c r="D284" s="21" t="s">
        <v>27</v>
      </c>
      <c r="E284" s="22" t="s">
        <v>23</v>
      </c>
      <c r="F284" s="20" t="s">
        <v>27</v>
      </c>
      <c r="G284" s="20" t="s">
        <v>27</v>
      </c>
    </row>
    <row r="285" ht="22" customHeight="1" spans="1:7" x14ac:dyDescent="0.25">
      <c r="A285" s="16" t="s">
        <v>28</v>
      </c>
      <c r="B285" s="17" t="s">
        <v>47</v>
      </c>
      <c r="C285" s="17" t="s">
        <v>177</v>
      </c>
      <c r="D285" s="17" t="s">
        <v>49</v>
      </c>
      <c r="E285" s="18">
        <v>31.9</v>
      </c>
      <c r="F285" s="19" t="s">
        <v>22</v>
      </c>
      <c r="G285" s="16" t="s">
        <v>23</v>
      </c>
    </row>
    <row r="286" ht="20" customHeight="1" spans="1:7" x14ac:dyDescent="0.25">
      <c r="A286" s="20" t="s">
        <v>30</v>
      </c>
      <c r="B286" s="21" t="s">
        <v>25</v>
      </c>
      <c r="C286" s="21" t="s">
        <v>26</v>
      </c>
      <c r="D286" s="21" t="s">
        <v>27</v>
      </c>
      <c r="E286" s="22" t="s">
        <v>23</v>
      </c>
      <c r="F286" s="20" t="s">
        <v>27</v>
      </c>
      <c r="G286" s="20" t="s">
        <v>27</v>
      </c>
    </row>
    <row r="287" ht="22" customHeight="1" spans="1:7" x14ac:dyDescent="0.25">
      <c r="A287" s="16" t="s">
        <v>31</v>
      </c>
      <c r="B287" s="17" t="s">
        <v>52</v>
      </c>
      <c r="C287" s="17" t="s">
        <v>178</v>
      </c>
      <c r="D287" s="17" t="s">
        <v>54</v>
      </c>
      <c r="E287" s="18">
        <v>19.9</v>
      </c>
      <c r="F287" s="19" t="s">
        <v>22</v>
      </c>
      <c r="G287" s="16" t="s">
        <v>23</v>
      </c>
    </row>
    <row r="288" ht="20" customHeight="1" spans="1:7" x14ac:dyDescent="0.25">
      <c r="A288" s="20" t="s">
        <v>35</v>
      </c>
      <c r="B288" s="21" t="s">
        <v>25</v>
      </c>
      <c r="C288" s="21" t="s">
        <v>26</v>
      </c>
      <c r="D288" s="21" t="s">
        <v>27</v>
      </c>
      <c r="E288" s="22" t="s">
        <v>23</v>
      </c>
      <c r="F288" s="20" t="s">
        <v>27</v>
      </c>
      <c r="G288" s="20" t="s">
        <v>27</v>
      </c>
    </row>
    <row r="289" ht="22" customHeight="1" spans="1:7" x14ac:dyDescent="0.25">
      <c r="A289" s="16" t="s">
        <v>36</v>
      </c>
      <c r="B289" s="17" t="s">
        <v>52</v>
      </c>
      <c r="C289" s="17" t="s">
        <v>179</v>
      </c>
      <c r="D289" s="17" t="s">
        <v>54</v>
      </c>
      <c r="E289" s="18">
        <v>30.3</v>
      </c>
      <c r="F289" s="19" t="s">
        <v>22</v>
      </c>
      <c r="G289" s="16" t="s">
        <v>23</v>
      </c>
    </row>
    <row r="290" ht="24" customHeight="1" spans="1:7" x14ac:dyDescent="0.25">
      <c r="A290" s="23" t="s">
        <v>38</v>
      </c>
      <c r="B290" s="23" t="s">
        <v>39</v>
      </c>
      <c r="C290" s="24" t="s">
        <v>40</v>
      </c>
      <c r="D290" s="24" t="s">
        <v>41</v>
      </c>
      <c r="E290" s="25">
        <f>SUM(E283,E285,E287,E289)</f>
        <v>108.2</v>
      </c>
      <c r="F290" s="23" t="str">
        <f>ROUND(E290/60, 1) &amp; " Saat"</f>
        <v>1.8 Saat</v>
      </c>
      <c r="G290" s="23" t="str">
        <f>COUNTIF(G283:G289, "X") &amp; "/4"</f>
        <v>0/4</v>
      </c>
    </row>
    <row r="291" ht="28" customHeight="1" spans="1:7" x14ac:dyDescent="0.25">
      <c r="A291" s="26" t="s">
        <v>79</v>
      </c>
      <c r="B291" s="26"/>
      <c r="C291" s="26"/>
      <c r="D291" s="26"/>
      <c r="E291" s="26"/>
      <c r="F291" s="26"/>
      <c r="G291" s="26"/>
    </row>
    <row r="292" ht="8" customHeight="1" x14ac:dyDescent="0.25"/>
    <row r="293" ht="25" customHeight="1" spans="1:7" x14ac:dyDescent="0.25">
      <c r="A293" s="14" t="s">
        <v>180</v>
      </c>
      <c r="B293" s="14"/>
      <c r="C293" s="14"/>
      <c r="D293" s="14"/>
      <c r="E293" s="14"/>
      <c r="F293" s="14"/>
      <c r="G293" s="14"/>
    </row>
    <row r="294" ht="22" customHeight="1" spans="1:7" x14ac:dyDescent="0.25">
      <c r="A294" s="15" t="s">
        <v>17</v>
      </c>
      <c r="B294" s="15"/>
      <c r="C294" s="15"/>
      <c r="D294" s="15"/>
      <c r="E294" s="15"/>
      <c r="F294" s="15"/>
      <c r="G294" s="15"/>
    </row>
    <row r="295" ht="22" customHeight="1" spans="1:7" x14ac:dyDescent="0.25">
      <c r="A295" s="16" t="s">
        <v>18</v>
      </c>
      <c r="B295" s="17" t="s">
        <v>19</v>
      </c>
      <c r="C295" s="17" t="s">
        <v>181</v>
      </c>
      <c r="D295" s="17" t="s">
        <v>21</v>
      </c>
      <c r="E295" s="18">
        <v>24.9</v>
      </c>
      <c r="F295" s="19" t="s">
        <v>22</v>
      </c>
      <c r="G295" s="16" t="s">
        <v>23</v>
      </c>
    </row>
    <row r="296" ht="20" customHeight="1" spans="1:7" x14ac:dyDescent="0.25">
      <c r="A296" s="20" t="s">
        <v>24</v>
      </c>
      <c r="B296" s="21" t="s">
        <v>25</v>
      </c>
      <c r="C296" s="21" t="s">
        <v>26</v>
      </c>
      <c r="D296" s="21" t="s">
        <v>27</v>
      </c>
      <c r="E296" s="22" t="s">
        <v>23</v>
      </c>
      <c r="F296" s="20" t="s">
        <v>27</v>
      </c>
      <c r="G296" s="20" t="s">
        <v>27</v>
      </c>
    </row>
    <row r="297" ht="22" customHeight="1" spans="1:7" x14ac:dyDescent="0.25">
      <c r="A297" s="16" t="s">
        <v>28</v>
      </c>
      <c r="B297" s="17" t="s">
        <v>19</v>
      </c>
      <c r="C297" s="17" t="s">
        <v>182</v>
      </c>
      <c r="D297" s="17" t="s">
        <v>21</v>
      </c>
      <c r="E297" s="18">
        <v>25.9</v>
      </c>
      <c r="F297" s="19" t="s">
        <v>22</v>
      </c>
      <c r="G297" s="16" t="s">
        <v>23</v>
      </c>
    </row>
    <row r="298" ht="20" customHeight="1" spans="1:7" x14ac:dyDescent="0.25">
      <c r="A298" s="20" t="s">
        <v>30</v>
      </c>
      <c r="B298" s="21" t="s">
        <v>25</v>
      </c>
      <c r="C298" s="21" t="s">
        <v>26</v>
      </c>
      <c r="D298" s="21" t="s">
        <v>27</v>
      </c>
      <c r="E298" s="22" t="s">
        <v>23</v>
      </c>
      <c r="F298" s="20" t="s">
        <v>27</v>
      </c>
      <c r="G298" s="20" t="s">
        <v>27</v>
      </c>
    </row>
    <row r="299" ht="22" customHeight="1" spans="1:7" x14ac:dyDescent="0.25">
      <c r="A299" s="16" t="s">
        <v>31</v>
      </c>
      <c r="B299" s="17" t="s">
        <v>32</v>
      </c>
      <c r="C299" s="17" t="s">
        <v>183</v>
      </c>
      <c r="D299" s="17" t="s">
        <v>34</v>
      </c>
      <c r="E299" s="18">
        <v>65.1</v>
      </c>
      <c r="F299" s="19" t="s">
        <v>22</v>
      </c>
      <c r="G299" s="16" t="s">
        <v>23</v>
      </c>
    </row>
    <row r="300" ht="20" customHeight="1" spans="1:7" x14ac:dyDescent="0.25">
      <c r="A300" s="20" t="s">
        <v>35</v>
      </c>
      <c r="B300" s="21" t="s">
        <v>25</v>
      </c>
      <c r="C300" s="21" t="s">
        <v>26</v>
      </c>
      <c r="D300" s="21" t="s">
        <v>27</v>
      </c>
      <c r="E300" s="22" t="s">
        <v>23</v>
      </c>
      <c r="F300" s="20" t="s">
        <v>27</v>
      </c>
      <c r="G300" s="20" t="s">
        <v>27</v>
      </c>
    </row>
    <row r="301" ht="22" customHeight="1" spans="1:7" x14ac:dyDescent="0.25">
      <c r="A301" s="16" t="s">
        <v>36</v>
      </c>
      <c r="B301" s="17" t="s">
        <v>32</v>
      </c>
      <c r="C301" s="17" t="s">
        <v>184</v>
      </c>
      <c r="D301" s="17" t="s">
        <v>34</v>
      </c>
      <c r="E301" s="18">
        <v>33.1</v>
      </c>
      <c r="F301" s="19" t="s">
        <v>22</v>
      </c>
      <c r="G301" s="16" t="s">
        <v>23</v>
      </c>
    </row>
    <row r="302" ht="24" customHeight="1" spans="1:7" x14ac:dyDescent="0.25">
      <c r="A302" s="23" t="s">
        <v>38</v>
      </c>
      <c r="B302" s="23" t="s">
        <v>39</v>
      </c>
      <c r="C302" s="24" t="s">
        <v>40</v>
      </c>
      <c r="D302" s="24" t="s">
        <v>41</v>
      </c>
      <c r="E302" s="25">
        <f>SUM(E295,E297,E299,E301)</f>
        <v>149</v>
      </c>
      <c r="F302" s="23" t="str">
        <f>ROUND(E302/60, 1) &amp; " Saat"</f>
        <v>2.5 Saat</v>
      </c>
      <c r="G302" s="23" t="str">
        <f>COUNTIF(G295:G301, "X") &amp; "/4"</f>
        <v>0/4</v>
      </c>
    </row>
    <row r="303" ht="22" customHeight="1" spans="1:7" x14ac:dyDescent="0.25">
      <c r="A303" s="15" t="s">
        <v>42</v>
      </c>
      <c r="B303" s="15"/>
      <c r="C303" s="15"/>
      <c r="D303" s="15"/>
      <c r="E303" s="15"/>
      <c r="F303" s="15"/>
      <c r="G303" s="15"/>
    </row>
    <row r="304" ht="22" customHeight="1" spans="1:7" x14ac:dyDescent="0.25">
      <c r="A304" s="16" t="s">
        <v>18</v>
      </c>
      <c r="B304" s="17" t="s">
        <v>43</v>
      </c>
      <c r="C304" s="17" t="s">
        <v>185</v>
      </c>
      <c r="D304" s="17" t="s">
        <v>45</v>
      </c>
      <c r="E304" s="18">
        <v>72</v>
      </c>
      <c r="F304" s="19" t="s">
        <v>22</v>
      </c>
      <c r="G304" s="16" t="s">
        <v>23</v>
      </c>
    </row>
    <row r="305" ht="20" customHeight="1" spans="1:7" x14ac:dyDescent="0.25">
      <c r="A305" s="20" t="s">
        <v>24</v>
      </c>
      <c r="B305" s="21" t="s">
        <v>25</v>
      </c>
      <c r="C305" s="21" t="s">
        <v>26</v>
      </c>
      <c r="D305" s="21" t="s">
        <v>27</v>
      </c>
      <c r="E305" s="22" t="s">
        <v>23</v>
      </c>
      <c r="F305" s="20" t="s">
        <v>27</v>
      </c>
      <c r="G305" s="20" t="s">
        <v>27</v>
      </c>
    </row>
    <row r="306" ht="22" customHeight="1" spans="1:7" x14ac:dyDescent="0.25">
      <c r="A306" s="16" t="s">
        <v>28</v>
      </c>
      <c r="B306" s="17" t="s">
        <v>43</v>
      </c>
      <c r="C306" s="17" t="s">
        <v>186</v>
      </c>
      <c r="D306" s="17" t="s">
        <v>45</v>
      </c>
      <c r="E306" s="18">
        <v>47.9</v>
      </c>
      <c r="F306" s="19" t="s">
        <v>22</v>
      </c>
      <c r="G306" s="16" t="s">
        <v>23</v>
      </c>
    </row>
    <row r="307" ht="20" customHeight="1" spans="1:7" x14ac:dyDescent="0.25">
      <c r="A307" s="20" t="s">
        <v>30</v>
      </c>
      <c r="B307" s="21" t="s">
        <v>25</v>
      </c>
      <c r="C307" s="21" t="s">
        <v>26</v>
      </c>
      <c r="D307" s="21" t="s">
        <v>27</v>
      </c>
      <c r="E307" s="22" t="s">
        <v>23</v>
      </c>
      <c r="F307" s="20" t="s">
        <v>27</v>
      </c>
      <c r="G307" s="20" t="s">
        <v>27</v>
      </c>
    </row>
    <row r="308" ht="22" customHeight="1" spans="1:7" x14ac:dyDescent="0.25">
      <c r="A308" s="16" t="s">
        <v>31</v>
      </c>
      <c r="B308" s="17" t="s">
        <v>47</v>
      </c>
      <c r="C308" s="17" t="s">
        <v>187</v>
      </c>
      <c r="D308" s="17" t="s">
        <v>49</v>
      </c>
      <c r="E308" s="18">
        <v>30</v>
      </c>
      <c r="F308" s="19" t="s">
        <v>22</v>
      </c>
      <c r="G308" s="16" t="s">
        <v>23</v>
      </c>
    </row>
    <row r="309" ht="20" customHeight="1" spans="1:7" x14ac:dyDescent="0.25">
      <c r="A309" s="20" t="s">
        <v>35</v>
      </c>
      <c r="B309" s="21" t="s">
        <v>25</v>
      </c>
      <c r="C309" s="21" t="s">
        <v>26</v>
      </c>
      <c r="D309" s="21" t="s">
        <v>27</v>
      </c>
      <c r="E309" s="22" t="s">
        <v>23</v>
      </c>
      <c r="F309" s="20" t="s">
        <v>27</v>
      </c>
      <c r="G309" s="20" t="s">
        <v>27</v>
      </c>
    </row>
    <row r="310" ht="22" customHeight="1" spans="1:7" x14ac:dyDescent="0.25">
      <c r="A310" s="16" t="s">
        <v>36</v>
      </c>
      <c r="B310" s="17" t="s">
        <v>47</v>
      </c>
      <c r="C310" s="17" t="s">
        <v>188</v>
      </c>
      <c r="D310" s="17" t="s">
        <v>49</v>
      </c>
      <c r="E310" s="18">
        <v>33.5</v>
      </c>
      <c r="F310" s="19" t="s">
        <v>22</v>
      </c>
      <c r="G310" s="16" t="s">
        <v>23</v>
      </c>
    </row>
    <row r="311" ht="24" customHeight="1" spans="1:7" x14ac:dyDescent="0.25">
      <c r="A311" s="23" t="s">
        <v>38</v>
      </c>
      <c r="B311" s="23" t="s">
        <v>39</v>
      </c>
      <c r="C311" s="24" t="s">
        <v>40</v>
      </c>
      <c r="D311" s="24" t="s">
        <v>41</v>
      </c>
      <c r="E311" s="25">
        <f>SUM(E304,E306,E308,E310)</f>
        <v>183.4</v>
      </c>
      <c r="F311" s="23" t="str">
        <f>ROUND(E311/60, 1) &amp; " Saat"</f>
        <v>3.1 Saat</v>
      </c>
      <c r="G311" s="23" t="str">
        <f>COUNTIF(G304:G310, "X") &amp; "/4"</f>
        <v>0/4</v>
      </c>
    </row>
    <row r="312" ht="22" customHeight="1" spans="1:7" x14ac:dyDescent="0.25">
      <c r="A312" s="15" t="s">
        <v>51</v>
      </c>
      <c r="B312" s="15"/>
      <c r="C312" s="15"/>
      <c r="D312" s="15"/>
      <c r="E312" s="15"/>
      <c r="F312" s="15"/>
      <c r="G312" s="15"/>
    </row>
    <row r="313" ht="22" customHeight="1" spans="1:7" x14ac:dyDescent="0.25">
      <c r="A313" s="16" t="s">
        <v>18</v>
      </c>
      <c r="B313" s="17" t="s">
        <v>52</v>
      </c>
      <c r="C313" s="17" t="s">
        <v>189</v>
      </c>
      <c r="D313" s="17" t="s">
        <v>54</v>
      </c>
      <c r="E313" s="18">
        <v>18.4</v>
      </c>
      <c r="F313" s="19" t="s">
        <v>22</v>
      </c>
      <c r="G313" s="16" t="s">
        <v>23</v>
      </c>
    </row>
    <row r="314" ht="20" customHeight="1" spans="1:7" x14ac:dyDescent="0.25">
      <c r="A314" s="20" t="s">
        <v>24</v>
      </c>
      <c r="B314" s="21" t="s">
        <v>25</v>
      </c>
      <c r="C314" s="21" t="s">
        <v>26</v>
      </c>
      <c r="D314" s="21" t="s">
        <v>27</v>
      </c>
      <c r="E314" s="22" t="s">
        <v>23</v>
      </c>
      <c r="F314" s="20" t="s">
        <v>27</v>
      </c>
      <c r="G314" s="20" t="s">
        <v>27</v>
      </c>
    </row>
    <row r="315" ht="22" customHeight="1" spans="1:7" x14ac:dyDescent="0.25">
      <c r="A315" s="16" t="s">
        <v>28</v>
      </c>
      <c r="B315" s="17" t="s">
        <v>52</v>
      </c>
      <c r="C315" s="17" t="s">
        <v>190</v>
      </c>
      <c r="D315" s="17" t="s">
        <v>54</v>
      </c>
      <c r="E315" s="18">
        <v>19.6</v>
      </c>
      <c r="F315" s="19" t="s">
        <v>22</v>
      </c>
      <c r="G315" s="16" t="s">
        <v>23</v>
      </c>
    </row>
    <row r="316" ht="20" customHeight="1" spans="1:7" x14ac:dyDescent="0.25">
      <c r="A316" s="20" t="s">
        <v>30</v>
      </c>
      <c r="B316" s="21" t="s">
        <v>25</v>
      </c>
      <c r="C316" s="21" t="s">
        <v>26</v>
      </c>
      <c r="D316" s="21" t="s">
        <v>27</v>
      </c>
      <c r="E316" s="22" t="s">
        <v>23</v>
      </c>
      <c r="F316" s="20" t="s">
        <v>27</v>
      </c>
      <c r="G316" s="20" t="s">
        <v>27</v>
      </c>
    </row>
    <row r="317" ht="22" customHeight="1" spans="1:7" x14ac:dyDescent="0.25">
      <c r="A317" s="16" t="s">
        <v>31</v>
      </c>
      <c r="B317" s="17" t="s">
        <v>56</v>
      </c>
      <c r="C317" s="17" t="s">
        <v>191</v>
      </c>
      <c r="D317" s="17" t="s">
        <v>58</v>
      </c>
      <c r="E317" s="18">
        <v>27.1</v>
      </c>
      <c r="F317" s="19" t="s">
        <v>22</v>
      </c>
      <c r="G317" s="16" t="s">
        <v>23</v>
      </c>
    </row>
    <row r="318" ht="20" customHeight="1" spans="1:7" x14ac:dyDescent="0.25">
      <c r="A318" s="20" t="s">
        <v>35</v>
      </c>
      <c r="B318" s="21" t="s">
        <v>25</v>
      </c>
      <c r="C318" s="21" t="s">
        <v>26</v>
      </c>
      <c r="D318" s="21" t="s">
        <v>27</v>
      </c>
      <c r="E318" s="22" t="s">
        <v>23</v>
      </c>
      <c r="F318" s="20" t="s">
        <v>27</v>
      </c>
      <c r="G318" s="20" t="s">
        <v>27</v>
      </c>
    </row>
    <row r="319" ht="22" customHeight="1" spans="1:7" x14ac:dyDescent="0.25">
      <c r="A319" s="16" t="s">
        <v>36</v>
      </c>
      <c r="B319" s="17" t="s">
        <v>56</v>
      </c>
      <c r="C319" s="17" t="s">
        <v>192</v>
      </c>
      <c r="D319" s="17" t="s">
        <v>58</v>
      </c>
      <c r="E319" s="18">
        <v>30.1</v>
      </c>
      <c r="F319" s="19" t="s">
        <v>22</v>
      </c>
      <c r="G319" s="16" t="s">
        <v>23</v>
      </c>
    </row>
    <row r="320" ht="24" customHeight="1" spans="1:7" x14ac:dyDescent="0.25">
      <c r="A320" s="23" t="s">
        <v>38</v>
      </c>
      <c r="B320" s="23" t="s">
        <v>39</v>
      </c>
      <c r="C320" s="24" t="s">
        <v>40</v>
      </c>
      <c r="D320" s="24" t="s">
        <v>41</v>
      </c>
      <c r="E320" s="25">
        <f>SUM(E313,E315,E317,E319)</f>
        <v>95.2</v>
      </c>
      <c r="F320" s="23" t="str">
        <f>ROUND(E320/60, 1) &amp; " Saat"</f>
        <v>1.6 Saat</v>
      </c>
      <c r="G320" s="23" t="str">
        <f>COUNTIF(G313:G319, "X") &amp; "/4"</f>
        <v>0/4</v>
      </c>
    </row>
    <row r="321" ht="22" customHeight="1" spans="1:7" x14ac:dyDescent="0.25">
      <c r="A321" s="15" t="s">
        <v>60</v>
      </c>
      <c r="B321" s="15"/>
      <c r="C321" s="15"/>
      <c r="D321" s="15"/>
      <c r="E321" s="15"/>
      <c r="F321" s="15"/>
      <c r="G321" s="15"/>
    </row>
    <row r="322" ht="22" customHeight="1" spans="1:7" x14ac:dyDescent="0.25">
      <c r="A322" s="16" t="s">
        <v>18</v>
      </c>
      <c r="B322" s="17" t="s">
        <v>43</v>
      </c>
      <c r="C322" s="17" t="s">
        <v>193</v>
      </c>
      <c r="D322" s="17" t="s">
        <v>45</v>
      </c>
      <c r="E322" s="18">
        <v>44.2</v>
      </c>
      <c r="F322" s="19" t="s">
        <v>22</v>
      </c>
      <c r="G322" s="16" t="s">
        <v>23</v>
      </c>
    </row>
    <row r="323" ht="20" customHeight="1" spans="1:7" x14ac:dyDescent="0.25">
      <c r="A323" s="20" t="s">
        <v>24</v>
      </c>
      <c r="B323" s="21" t="s">
        <v>25</v>
      </c>
      <c r="C323" s="21" t="s">
        <v>26</v>
      </c>
      <c r="D323" s="21" t="s">
        <v>27</v>
      </c>
      <c r="E323" s="22" t="s">
        <v>23</v>
      </c>
      <c r="F323" s="20" t="s">
        <v>27</v>
      </c>
      <c r="G323" s="20" t="s">
        <v>27</v>
      </c>
    </row>
    <row r="324" ht="22" customHeight="1" spans="1:7" x14ac:dyDescent="0.25">
      <c r="A324" s="16" t="s">
        <v>28</v>
      </c>
      <c r="B324" s="17" t="s">
        <v>43</v>
      </c>
      <c r="C324" s="17" t="s">
        <v>194</v>
      </c>
      <c r="D324" s="17" t="s">
        <v>45</v>
      </c>
      <c r="E324" s="18">
        <v>40.5</v>
      </c>
      <c r="F324" s="19" t="s">
        <v>22</v>
      </c>
      <c r="G324" s="16" t="s">
        <v>23</v>
      </c>
    </row>
    <row r="325" ht="20" customHeight="1" spans="1:7" x14ac:dyDescent="0.25">
      <c r="A325" s="20" t="s">
        <v>30</v>
      </c>
      <c r="B325" s="21" t="s">
        <v>25</v>
      </c>
      <c r="C325" s="21" t="s">
        <v>26</v>
      </c>
      <c r="D325" s="21" t="s">
        <v>27</v>
      </c>
      <c r="E325" s="22" t="s">
        <v>23</v>
      </c>
      <c r="F325" s="20" t="s">
        <v>27</v>
      </c>
      <c r="G325" s="20" t="s">
        <v>27</v>
      </c>
    </row>
    <row r="326" ht="22" customHeight="1" spans="1:7" x14ac:dyDescent="0.25">
      <c r="A326" s="16" t="s">
        <v>31</v>
      </c>
      <c r="B326" s="17" t="s">
        <v>63</v>
      </c>
      <c r="C326" s="17" t="s">
        <v>195</v>
      </c>
      <c r="D326" s="17" t="s">
        <v>65</v>
      </c>
      <c r="E326" s="18">
        <v>21.8</v>
      </c>
      <c r="F326" s="19" t="s">
        <v>22</v>
      </c>
      <c r="G326" s="16" t="s">
        <v>23</v>
      </c>
    </row>
    <row r="327" ht="20" customHeight="1" spans="1:7" x14ac:dyDescent="0.25">
      <c r="A327" s="20" t="s">
        <v>35</v>
      </c>
      <c r="B327" s="21" t="s">
        <v>25</v>
      </c>
      <c r="C327" s="21" t="s">
        <v>26</v>
      </c>
      <c r="D327" s="21" t="s">
        <v>27</v>
      </c>
      <c r="E327" s="22" t="s">
        <v>23</v>
      </c>
      <c r="F327" s="20" t="s">
        <v>27</v>
      </c>
      <c r="G327" s="20" t="s">
        <v>27</v>
      </c>
    </row>
    <row r="328" ht="22" customHeight="1" spans="1:7" x14ac:dyDescent="0.25">
      <c r="A328" s="16" t="s">
        <v>36</v>
      </c>
      <c r="B328" s="17" t="s">
        <v>63</v>
      </c>
      <c r="C328" s="17" t="s">
        <v>196</v>
      </c>
      <c r="D328" s="17" t="s">
        <v>65</v>
      </c>
      <c r="E328" s="18">
        <v>31</v>
      </c>
      <c r="F328" s="19" t="s">
        <v>22</v>
      </c>
      <c r="G328" s="16" t="s">
        <v>23</v>
      </c>
    </row>
    <row r="329" ht="24" customHeight="1" spans="1:7" x14ac:dyDescent="0.25">
      <c r="A329" s="23" t="s">
        <v>38</v>
      </c>
      <c r="B329" s="23" t="s">
        <v>39</v>
      </c>
      <c r="C329" s="24" t="s">
        <v>40</v>
      </c>
      <c r="D329" s="24" t="s">
        <v>41</v>
      </c>
      <c r="E329" s="25">
        <f>SUM(E322,E324,E326,E328)</f>
        <v>137.5</v>
      </c>
      <c r="F329" s="23" t="str">
        <f>ROUND(E329/60, 1) &amp; " Saat"</f>
        <v>2.3 Saat</v>
      </c>
      <c r="G329" s="23" t="str">
        <f>COUNTIF(G322:G328, "X") &amp; "/4"</f>
        <v>0/4</v>
      </c>
    </row>
    <row r="330" ht="22" customHeight="1" spans="1:7" x14ac:dyDescent="0.25">
      <c r="A330" s="15" t="s">
        <v>67</v>
      </c>
      <c r="B330" s="15"/>
      <c r="C330" s="15"/>
      <c r="D330" s="15"/>
      <c r="E330" s="15"/>
      <c r="F330" s="15"/>
      <c r="G330" s="15"/>
    </row>
    <row r="331" ht="22" customHeight="1" spans="1:7" x14ac:dyDescent="0.25">
      <c r="A331" s="16" t="s">
        <v>18</v>
      </c>
      <c r="B331" s="17" t="s">
        <v>68</v>
      </c>
      <c r="C331" s="17" t="s">
        <v>197</v>
      </c>
      <c r="D331" s="17" t="s">
        <v>70</v>
      </c>
      <c r="E331" s="18">
        <v>30.2</v>
      </c>
      <c r="F331" s="19" t="s">
        <v>22</v>
      </c>
      <c r="G331" s="16" t="s">
        <v>23</v>
      </c>
    </row>
    <row r="332" ht="20" customHeight="1" spans="1:7" x14ac:dyDescent="0.25">
      <c r="A332" s="20" t="s">
        <v>24</v>
      </c>
      <c r="B332" s="21" t="s">
        <v>25</v>
      </c>
      <c r="C332" s="21" t="s">
        <v>26</v>
      </c>
      <c r="D332" s="21" t="s">
        <v>27</v>
      </c>
      <c r="E332" s="22" t="s">
        <v>23</v>
      </c>
      <c r="F332" s="20" t="s">
        <v>27</v>
      </c>
      <c r="G332" s="20" t="s">
        <v>27</v>
      </c>
    </row>
    <row r="333" ht="22" customHeight="1" spans="1:7" x14ac:dyDescent="0.25">
      <c r="A333" s="16" t="s">
        <v>28</v>
      </c>
      <c r="B333" s="17" t="s">
        <v>68</v>
      </c>
      <c r="C333" s="17" t="s">
        <v>198</v>
      </c>
      <c r="D333" s="17" t="s">
        <v>70</v>
      </c>
      <c r="E333" s="18">
        <v>39.9</v>
      </c>
      <c r="F333" s="19" t="s">
        <v>22</v>
      </c>
      <c r="G333" s="16" t="s">
        <v>23</v>
      </c>
    </row>
    <row r="334" ht="20" customHeight="1" spans="1:7" x14ac:dyDescent="0.25">
      <c r="A334" s="20" t="s">
        <v>30</v>
      </c>
      <c r="B334" s="21" t="s">
        <v>25</v>
      </c>
      <c r="C334" s="21" t="s">
        <v>26</v>
      </c>
      <c r="D334" s="21" t="s">
        <v>27</v>
      </c>
      <c r="E334" s="22" t="s">
        <v>23</v>
      </c>
      <c r="F334" s="20" t="s">
        <v>27</v>
      </c>
      <c r="G334" s="20" t="s">
        <v>27</v>
      </c>
    </row>
    <row r="335" ht="22" customHeight="1" spans="1:7" x14ac:dyDescent="0.25">
      <c r="A335" s="16" t="s">
        <v>31</v>
      </c>
      <c r="B335" s="17" t="s">
        <v>56</v>
      </c>
      <c r="C335" s="17" t="s">
        <v>199</v>
      </c>
      <c r="D335" s="17" t="s">
        <v>58</v>
      </c>
      <c r="E335" s="18">
        <v>29.4</v>
      </c>
      <c r="F335" s="19" t="s">
        <v>22</v>
      </c>
      <c r="G335" s="16" t="s">
        <v>23</v>
      </c>
    </row>
    <row r="336" ht="20" customHeight="1" spans="1:7" x14ac:dyDescent="0.25">
      <c r="A336" s="20" t="s">
        <v>35</v>
      </c>
      <c r="B336" s="21" t="s">
        <v>25</v>
      </c>
      <c r="C336" s="21" t="s">
        <v>26</v>
      </c>
      <c r="D336" s="21" t="s">
        <v>27</v>
      </c>
      <c r="E336" s="22" t="s">
        <v>23</v>
      </c>
      <c r="F336" s="20" t="s">
        <v>27</v>
      </c>
      <c r="G336" s="20" t="s">
        <v>27</v>
      </c>
    </row>
    <row r="337" ht="22" customHeight="1" spans="1:7" x14ac:dyDescent="0.25">
      <c r="A337" s="16" t="s">
        <v>36</v>
      </c>
      <c r="B337" s="17" t="s">
        <v>56</v>
      </c>
      <c r="C337" s="17" t="s">
        <v>200</v>
      </c>
      <c r="D337" s="17" t="s">
        <v>58</v>
      </c>
      <c r="E337" s="18">
        <v>53.8</v>
      </c>
      <c r="F337" s="19" t="s">
        <v>22</v>
      </c>
      <c r="G337" s="16" t="s">
        <v>23</v>
      </c>
    </row>
    <row r="338" ht="24" customHeight="1" spans="1:7" x14ac:dyDescent="0.25">
      <c r="A338" s="23" t="s">
        <v>38</v>
      </c>
      <c r="B338" s="23" t="s">
        <v>39</v>
      </c>
      <c r="C338" s="24" t="s">
        <v>40</v>
      </c>
      <c r="D338" s="24" t="s">
        <v>41</v>
      </c>
      <c r="E338" s="25">
        <f>SUM(E331,E333,E335,E337)</f>
        <v>153.3</v>
      </c>
      <c r="F338" s="23" t="str">
        <f>ROUND(E338/60, 1) &amp; " Saat"</f>
        <v>2.6 Saat</v>
      </c>
      <c r="G338" s="23" t="str">
        <f>COUNTIF(G331:G337, "X") &amp; "/4"</f>
        <v>0/4</v>
      </c>
    </row>
    <row r="339" ht="22" customHeight="1" spans="1:7" x14ac:dyDescent="0.25">
      <c r="A339" s="15" t="s">
        <v>74</v>
      </c>
      <c r="B339" s="15"/>
      <c r="C339" s="15"/>
      <c r="D339" s="15"/>
      <c r="E339" s="15"/>
      <c r="F339" s="15"/>
      <c r="G339" s="15"/>
    </row>
    <row r="340" ht="22" customHeight="1" spans="1:7" x14ac:dyDescent="0.25">
      <c r="A340" s="16" t="s">
        <v>18</v>
      </c>
      <c r="B340" s="17" t="s">
        <v>47</v>
      </c>
      <c r="C340" s="17" t="s">
        <v>201</v>
      </c>
      <c r="D340" s="17" t="s">
        <v>49</v>
      </c>
      <c r="E340" s="18">
        <v>27.2</v>
      </c>
      <c r="F340" s="19" t="s">
        <v>22</v>
      </c>
      <c r="G340" s="16" t="s">
        <v>23</v>
      </c>
    </row>
    <row r="341" ht="20" customHeight="1" spans="1:7" x14ac:dyDescent="0.25">
      <c r="A341" s="20" t="s">
        <v>24</v>
      </c>
      <c r="B341" s="21" t="s">
        <v>25</v>
      </c>
      <c r="C341" s="21" t="s">
        <v>26</v>
      </c>
      <c r="D341" s="21" t="s">
        <v>27</v>
      </c>
      <c r="E341" s="22" t="s">
        <v>23</v>
      </c>
      <c r="F341" s="20" t="s">
        <v>27</v>
      </c>
      <c r="G341" s="20" t="s">
        <v>27</v>
      </c>
    </row>
    <row r="342" ht="22" customHeight="1" spans="1:7" x14ac:dyDescent="0.25">
      <c r="A342" s="16" t="s">
        <v>28</v>
      </c>
      <c r="B342" s="17" t="s">
        <v>47</v>
      </c>
      <c r="C342" s="17" t="s">
        <v>202</v>
      </c>
      <c r="D342" s="17" t="s">
        <v>49</v>
      </c>
      <c r="E342" s="18">
        <v>21</v>
      </c>
      <c r="F342" s="19" t="s">
        <v>22</v>
      </c>
      <c r="G342" s="16" t="s">
        <v>23</v>
      </c>
    </row>
    <row r="343" ht="20" customHeight="1" spans="1:7" x14ac:dyDescent="0.25">
      <c r="A343" s="20" t="s">
        <v>30</v>
      </c>
      <c r="B343" s="21" t="s">
        <v>25</v>
      </c>
      <c r="C343" s="21" t="s">
        <v>26</v>
      </c>
      <c r="D343" s="21" t="s">
        <v>27</v>
      </c>
      <c r="E343" s="22" t="s">
        <v>23</v>
      </c>
      <c r="F343" s="20" t="s">
        <v>27</v>
      </c>
      <c r="G343" s="20" t="s">
        <v>27</v>
      </c>
    </row>
    <row r="344" ht="22" customHeight="1" spans="1:7" x14ac:dyDescent="0.25">
      <c r="A344" s="16" t="s">
        <v>31</v>
      </c>
      <c r="B344" s="17" t="s">
        <v>52</v>
      </c>
      <c r="C344" s="17" t="s">
        <v>203</v>
      </c>
      <c r="D344" s="17" t="s">
        <v>54</v>
      </c>
      <c r="E344" s="18">
        <v>44.1</v>
      </c>
      <c r="F344" s="19" t="s">
        <v>22</v>
      </c>
      <c r="G344" s="16" t="s">
        <v>23</v>
      </c>
    </row>
    <row r="345" ht="20" customHeight="1" spans="1:7" x14ac:dyDescent="0.25">
      <c r="A345" s="20" t="s">
        <v>35</v>
      </c>
      <c r="B345" s="21" t="s">
        <v>25</v>
      </c>
      <c r="C345" s="21" t="s">
        <v>26</v>
      </c>
      <c r="D345" s="21" t="s">
        <v>27</v>
      </c>
      <c r="E345" s="22" t="s">
        <v>23</v>
      </c>
      <c r="F345" s="20" t="s">
        <v>27</v>
      </c>
      <c r="G345" s="20" t="s">
        <v>27</v>
      </c>
    </row>
    <row r="346" ht="22" customHeight="1" spans="1:7" x14ac:dyDescent="0.25">
      <c r="A346" s="16" t="s">
        <v>36</v>
      </c>
      <c r="B346" s="17" t="s">
        <v>52</v>
      </c>
      <c r="C346" s="17" t="s">
        <v>204</v>
      </c>
      <c r="D346" s="17" t="s">
        <v>54</v>
      </c>
      <c r="E346" s="18">
        <v>16.2</v>
      </c>
      <c r="F346" s="19" t="s">
        <v>22</v>
      </c>
      <c r="G346" s="16" t="s">
        <v>23</v>
      </c>
    </row>
    <row r="347" ht="24" customHeight="1" spans="1:7" x14ac:dyDescent="0.25">
      <c r="A347" s="23" t="s">
        <v>38</v>
      </c>
      <c r="B347" s="23" t="s">
        <v>39</v>
      </c>
      <c r="C347" s="24" t="s">
        <v>40</v>
      </c>
      <c r="D347" s="24" t="s">
        <v>41</v>
      </c>
      <c r="E347" s="25">
        <f>SUM(E340,E342,E344,E346)</f>
        <v>108.5</v>
      </c>
      <c r="F347" s="23" t="str">
        <f>ROUND(E347/60, 1) &amp; " Saat"</f>
        <v>1.8 Saat</v>
      </c>
      <c r="G347" s="23" t="str">
        <f>COUNTIF(G340:G346, "X") &amp; "/4"</f>
        <v>0/4</v>
      </c>
    </row>
    <row r="348" ht="28" customHeight="1" spans="1:7" x14ac:dyDescent="0.25">
      <c r="A348" s="26" t="s">
        <v>79</v>
      </c>
      <c r="B348" s="26"/>
      <c r="C348" s="26"/>
      <c r="D348" s="26"/>
      <c r="E348" s="26"/>
      <c r="F348" s="26"/>
      <c r="G348" s="26"/>
    </row>
    <row r="349" ht="8" customHeight="1" x14ac:dyDescent="0.25"/>
    <row r="350" ht="25" customHeight="1" spans="1:7" x14ac:dyDescent="0.25">
      <c r="A350" s="14" t="s">
        <v>205</v>
      </c>
      <c r="B350" s="14"/>
      <c r="C350" s="14"/>
      <c r="D350" s="14"/>
      <c r="E350" s="14"/>
      <c r="F350" s="14"/>
      <c r="G350" s="14"/>
    </row>
    <row r="351" ht="22" customHeight="1" spans="1:7" x14ac:dyDescent="0.25">
      <c r="A351" s="15" t="s">
        <v>17</v>
      </c>
      <c r="B351" s="15"/>
      <c r="C351" s="15"/>
      <c r="D351" s="15"/>
      <c r="E351" s="15"/>
      <c r="F351" s="15"/>
      <c r="G351" s="15"/>
    </row>
    <row r="352" ht="22" customHeight="1" spans="1:7" x14ac:dyDescent="0.25">
      <c r="A352" s="16" t="s">
        <v>18</v>
      </c>
      <c r="B352" s="17" t="s">
        <v>19</v>
      </c>
      <c r="C352" s="17" t="s">
        <v>206</v>
      </c>
      <c r="D352" s="17" t="s">
        <v>21</v>
      </c>
      <c r="E352" s="18">
        <v>16.7</v>
      </c>
      <c r="F352" s="19" t="s">
        <v>22</v>
      </c>
      <c r="G352" s="16" t="s">
        <v>23</v>
      </c>
    </row>
    <row r="353" ht="20" customHeight="1" spans="1:7" x14ac:dyDescent="0.25">
      <c r="A353" s="20" t="s">
        <v>24</v>
      </c>
      <c r="B353" s="21" t="s">
        <v>25</v>
      </c>
      <c r="C353" s="21" t="s">
        <v>26</v>
      </c>
      <c r="D353" s="21" t="s">
        <v>27</v>
      </c>
      <c r="E353" s="22" t="s">
        <v>23</v>
      </c>
      <c r="F353" s="20" t="s">
        <v>27</v>
      </c>
      <c r="G353" s="20" t="s">
        <v>27</v>
      </c>
    </row>
    <row r="354" ht="22" customHeight="1" spans="1:7" x14ac:dyDescent="0.25">
      <c r="A354" s="16" t="s">
        <v>28</v>
      </c>
      <c r="B354" s="17" t="s">
        <v>19</v>
      </c>
      <c r="C354" s="17" t="s">
        <v>207</v>
      </c>
      <c r="D354" s="17" t="s">
        <v>21</v>
      </c>
      <c r="E354" s="18">
        <v>15.4</v>
      </c>
      <c r="F354" s="19" t="s">
        <v>22</v>
      </c>
      <c r="G354" s="16" t="s">
        <v>23</v>
      </c>
    </row>
    <row r="355" ht="20" customHeight="1" spans="1:7" x14ac:dyDescent="0.25">
      <c r="A355" s="20" t="s">
        <v>30</v>
      </c>
      <c r="B355" s="21" t="s">
        <v>25</v>
      </c>
      <c r="C355" s="21" t="s">
        <v>26</v>
      </c>
      <c r="D355" s="21" t="s">
        <v>27</v>
      </c>
      <c r="E355" s="22" t="s">
        <v>23</v>
      </c>
      <c r="F355" s="20" t="s">
        <v>27</v>
      </c>
      <c r="G355" s="20" t="s">
        <v>27</v>
      </c>
    </row>
    <row r="356" ht="22" customHeight="1" spans="1:7" x14ac:dyDescent="0.25">
      <c r="A356" s="16" t="s">
        <v>31</v>
      </c>
      <c r="B356" s="17" t="s">
        <v>32</v>
      </c>
      <c r="C356" s="17" t="s">
        <v>208</v>
      </c>
      <c r="D356" s="17" t="s">
        <v>34</v>
      </c>
      <c r="E356" s="18">
        <v>47.8</v>
      </c>
      <c r="F356" s="19" t="s">
        <v>22</v>
      </c>
      <c r="G356" s="16" t="s">
        <v>23</v>
      </c>
    </row>
    <row r="357" ht="20" customHeight="1" spans="1:7" x14ac:dyDescent="0.25">
      <c r="A357" s="20" t="s">
        <v>35</v>
      </c>
      <c r="B357" s="21" t="s">
        <v>25</v>
      </c>
      <c r="C357" s="21" t="s">
        <v>26</v>
      </c>
      <c r="D357" s="21" t="s">
        <v>27</v>
      </c>
      <c r="E357" s="22" t="s">
        <v>23</v>
      </c>
      <c r="F357" s="20" t="s">
        <v>27</v>
      </c>
      <c r="G357" s="20" t="s">
        <v>27</v>
      </c>
    </row>
    <row r="358" ht="22" customHeight="1" spans="1:7" x14ac:dyDescent="0.25">
      <c r="A358" s="16" t="s">
        <v>36</v>
      </c>
      <c r="B358" s="17" t="s">
        <v>32</v>
      </c>
      <c r="C358" s="17" t="s">
        <v>209</v>
      </c>
      <c r="D358" s="17" t="s">
        <v>34</v>
      </c>
      <c r="E358" s="18">
        <v>30</v>
      </c>
      <c r="F358" s="19" t="s">
        <v>22</v>
      </c>
      <c r="G358" s="16" t="s">
        <v>23</v>
      </c>
    </row>
    <row r="359" ht="24" customHeight="1" spans="1:7" x14ac:dyDescent="0.25">
      <c r="A359" s="23" t="s">
        <v>38</v>
      </c>
      <c r="B359" s="23" t="s">
        <v>39</v>
      </c>
      <c r="C359" s="24" t="s">
        <v>40</v>
      </c>
      <c r="D359" s="24" t="s">
        <v>41</v>
      </c>
      <c r="E359" s="25">
        <f>SUM(E352,E354,E356,E358)</f>
        <v>109.9</v>
      </c>
      <c r="F359" s="23" t="str">
        <f>ROUND(E359/60, 1) &amp; " Saat"</f>
        <v>1.8 Saat</v>
      </c>
      <c r="G359" s="23" t="str">
        <f>COUNTIF(G352:G358, "X") &amp; "/4"</f>
        <v>0/4</v>
      </c>
    </row>
    <row r="360" ht="22" customHeight="1" spans="1:7" x14ac:dyDescent="0.25">
      <c r="A360" s="15" t="s">
        <v>42</v>
      </c>
      <c r="B360" s="15"/>
      <c r="C360" s="15"/>
      <c r="D360" s="15"/>
      <c r="E360" s="15"/>
      <c r="F360" s="15"/>
      <c r="G360" s="15"/>
    </row>
    <row r="361" ht="22" customHeight="1" spans="1:7" x14ac:dyDescent="0.25">
      <c r="A361" s="16" t="s">
        <v>18</v>
      </c>
      <c r="B361" s="17" t="s">
        <v>43</v>
      </c>
      <c r="C361" s="17" t="s">
        <v>210</v>
      </c>
      <c r="D361" s="17" t="s">
        <v>45</v>
      </c>
      <c r="E361" s="18">
        <v>46.2</v>
      </c>
      <c r="F361" s="19" t="s">
        <v>22</v>
      </c>
      <c r="G361" s="16" t="s">
        <v>23</v>
      </c>
    </row>
    <row r="362" ht="20" customHeight="1" spans="1:7" x14ac:dyDescent="0.25">
      <c r="A362" s="20" t="s">
        <v>24</v>
      </c>
      <c r="B362" s="21" t="s">
        <v>25</v>
      </c>
      <c r="C362" s="21" t="s">
        <v>26</v>
      </c>
      <c r="D362" s="21" t="s">
        <v>27</v>
      </c>
      <c r="E362" s="22" t="s">
        <v>23</v>
      </c>
      <c r="F362" s="20" t="s">
        <v>27</v>
      </c>
      <c r="G362" s="20" t="s">
        <v>27</v>
      </c>
    </row>
    <row r="363" ht="22" customHeight="1" spans="1:7" x14ac:dyDescent="0.25">
      <c r="A363" s="16" t="s">
        <v>28</v>
      </c>
      <c r="B363" s="17" t="s">
        <v>43</v>
      </c>
      <c r="C363" s="17" t="s">
        <v>211</v>
      </c>
      <c r="D363" s="17" t="s">
        <v>45</v>
      </c>
      <c r="E363" s="18">
        <v>63.1</v>
      </c>
      <c r="F363" s="19" t="s">
        <v>22</v>
      </c>
      <c r="G363" s="16" t="s">
        <v>23</v>
      </c>
    </row>
    <row r="364" ht="20" customHeight="1" spans="1:7" x14ac:dyDescent="0.25">
      <c r="A364" s="20" t="s">
        <v>30</v>
      </c>
      <c r="B364" s="21" t="s">
        <v>25</v>
      </c>
      <c r="C364" s="21" t="s">
        <v>26</v>
      </c>
      <c r="D364" s="21" t="s">
        <v>27</v>
      </c>
      <c r="E364" s="22" t="s">
        <v>23</v>
      </c>
      <c r="F364" s="20" t="s">
        <v>27</v>
      </c>
      <c r="G364" s="20" t="s">
        <v>27</v>
      </c>
    </row>
    <row r="365" ht="22" customHeight="1" spans="1:7" x14ac:dyDescent="0.25">
      <c r="A365" s="16" t="s">
        <v>31</v>
      </c>
      <c r="B365" s="17" t="s">
        <v>47</v>
      </c>
      <c r="C365" s="17" t="s">
        <v>212</v>
      </c>
      <c r="D365" s="17" t="s">
        <v>49</v>
      </c>
      <c r="E365" s="18">
        <v>35.5</v>
      </c>
      <c r="F365" s="19" t="s">
        <v>22</v>
      </c>
      <c r="G365" s="16" t="s">
        <v>23</v>
      </c>
    </row>
    <row r="366" ht="20" customHeight="1" spans="1:7" x14ac:dyDescent="0.25">
      <c r="A366" s="20" t="s">
        <v>35</v>
      </c>
      <c r="B366" s="21" t="s">
        <v>25</v>
      </c>
      <c r="C366" s="21" t="s">
        <v>26</v>
      </c>
      <c r="D366" s="21" t="s">
        <v>27</v>
      </c>
      <c r="E366" s="22" t="s">
        <v>23</v>
      </c>
      <c r="F366" s="20" t="s">
        <v>27</v>
      </c>
      <c r="G366" s="20" t="s">
        <v>27</v>
      </c>
    </row>
    <row r="367" ht="22" customHeight="1" spans="1:7" x14ac:dyDescent="0.25">
      <c r="A367" s="16" t="s">
        <v>36</v>
      </c>
      <c r="B367" s="17" t="s">
        <v>47</v>
      </c>
      <c r="C367" s="17" t="s">
        <v>213</v>
      </c>
      <c r="D367" s="17" t="s">
        <v>49</v>
      </c>
      <c r="E367" s="18">
        <v>41.1</v>
      </c>
      <c r="F367" s="19" t="s">
        <v>22</v>
      </c>
      <c r="G367" s="16" t="s">
        <v>23</v>
      </c>
    </row>
    <row r="368" ht="24" customHeight="1" spans="1:7" x14ac:dyDescent="0.25">
      <c r="A368" s="23" t="s">
        <v>38</v>
      </c>
      <c r="B368" s="23" t="s">
        <v>39</v>
      </c>
      <c r="C368" s="24" t="s">
        <v>40</v>
      </c>
      <c r="D368" s="24" t="s">
        <v>41</v>
      </c>
      <c r="E368" s="25">
        <f>SUM(E361,E363,E365,E367)</f>
        <v>185.9</v>
      </c>
      <c r="F368" s="23" t="str">
        <f>ROUND(E368/60, 1) &amp; " Saat"</f>
        <v>3.1 Saat</v>
      </c>
      <c r="G368" s="23" t="str">
        <f>COUNTIF(G361:G367, "X") &amp; "/4"</f>
        <v>0/4</v>
      </c>
    </row>
    <row r="369" ht="22" customHeight="1" spans="1:7" x14ac:dyDescent="0.25">
      <c r="A369" s="15" t="s">
        <v>51</v>
      </c>
      <c r="B369" s="15"/>
      <c r="C369" s="15"/>
      <c r="D369" s="15"/>
      <c r="E369" s="15"/>
      <c r="F369" s="15"/>
      <c r="G369" s="15"/>
    </row>
    <row r="370" ht="22" customHeight="1" spans="1:7" x14ac:dyDescent="0.25">
      <c r="A370" s="16" t="s">
        <v>18</v>
      </c>
      <c r="B370" s="17" t="s">
        <v>52</v>
      </c>
      <c r="C370" s="17" t="s">
        <v>214</v>
      </c>
      <c r="D370" s="17" t="s">
        <v>54</v>
      </c>
      <c r="E370" s="18">
        <v>30.4</v>
      </c>
      <c r="F370" s="19" t="s">
        <v>22</v>
      </c>
      <c r="G370" s="16" t="s">
        <v>23</v>
      </c>
    </row>
    <row r="371" ht="20" customHeight="1" spans="1:7" x14ac:dyDescent="0.25">
      <c r="A371" s="20" t="s">
        <v>24</v>
      </c>
      <c r="B371" s="21" t="s">
        <v>25</v>
      </c>
      <c r="C371" s="21" t="s">
        <v>26</v>
      </c>
      <c r="D371" s="21" t="s">
        <v>27</v>
      </c>
      <c r="E371" s="22" t="s">
        <v>23</v>
      </c>
      <c r="F371" s="20" t="s">
        <v>27</v>
      </c>
      <c r="G371" s="20" t="s">
        <v>27</v>
      </c>
    </row>
    <row r="372" ht="22" customHeight="1" spans="1:7" x14ac:dyDescent="0.25">
      <c r="A372" s="16" t="s">
        <v>28</v>
      </c>
      <c r="B372" s="17" t="s">
        <v>52</v>
      </c>
      <c r="C372" s="17" t="s">
        <v>215</v>
      </c>
      <c r="D372" s="17" t="s">
        <v>54</v>
      </c>
      <c r="E372" s="18">
        <v>39.7</v>
      </c>
      <c r="F372" s="19" t="s">
        <v>22</v>
      </c>
      <c r="G372" s="16" t="s">
        <v>23</v>
      </c>
    </row>
    <row r="373" ht="20" customHeight="1" spans="1:7" x14ac:dyDescent="0.25">
      <c r="A373" s="20" t="s">
        <v>30</v>
      </c>
      <c r="B373" s="21" t="s">
        <v>25</v>
      </c>
      <c r="C373" s="21" t="s">
        <v>26</v>
      </c>
      <c r="D373" s="21" t="s">
        <v>27</v>
      </c>
      <c r="E373" s="22" t="s">
        <v>23</v>
      </c>
      <c r="F373" s="20" t="s">
        <v>27</v>
      </c>
      <c r="G373" s="20" t="s">
        <v>27</v>
      </c>
    </row>
    <row r="374" ht="22" customHeight="1" spans="1:7" x14ac:dyDescent="0.25">
      <c r="A374" s="16" t="s">
        <v>31</v>
      </c>
      <c r="B374" s="17" t="s">
        <v>56</v>
      </c>
      <c r="C374" s="17" t="s">
        <v>216</v>
      </c>
      <c r="D374" s="17" t="s">
        <v>58</v>
      </c>
      <c r="E374" s="18">
        <v>21.9</v>
      </c>
      <c r="F374" s="19" t="s">
        <v>22</v>
      </c>
      <c r="G374" s="16" t="s">
        <v>23</v>
      </c>
    </row>
    <row r="375" ht="20" customHeight="1" spans="1:7" x14ac:dyDescent="0.25">
      <c r="A375" s="20" t="s">
        <v>35</v>
      </c>
      <c r="B375" s="21" t="s">
        <v>25</v>
      </c>
      <c r="C375" s="21" t="s">
        <v>26</v>
      </c>
      <c r="D375" s="21" t="s">
        <v>27</v>
      </c>
      <c r="E375" s="22" t="s">
        <v>23</v>
      </c>
      <c r="F375" s="20" t="s">
        <v>27</v>
      </c>
      <c r="G375" s="20" t="s">
        <v>27</v>
      </c>
    </row>
    <row r="376" ht="22" customHeight="1" spans="1:7" x14ac:dyDescent="0.25">
      <c r="A376" s="16" t="s">
        <v>36</v>
      </c>
      <c r="B376" s="17" t="s">
        <v>56</v>
      </c>
      <c r="C376" s="17" t="s">
        <v>217</v>
      </c>
      <c r="D376" s="17" t="s">
        <v>58</v>
      </c>
      <c r="E376" s="18">
        <v>15.5</v>
      </c>
      <c r="F376" s="19" t="s">
        <v>22</v>
      </c>
      <c r="G376" s="16" t="s">
        <v>23</v>
      </c>
    </row>
    <row r="377" ht="24" customHeight="1" spans="1:7" x14ac:dyDescent="0.25">
      <c r="A377" s="23" t="s">
        <v>38</v>
      </c>
      <c r="B377" s="23" t="s">
        <v>39</v>
      </c>
      <c r="C377" s="24" t="s">
        <v>40</v>
      </c>
      <c r="D377" s="24" t="s">
        <v>41</v>
      </c>
      <c r="E377" s="25">
        <f>SUM(E370,E372,E374,E376)</f>
        <v>107.5</v>
      </c>
      <c r="F377" s="23" t="str">
        <f>ROUND(E377/60, 1) &amp; " Saat"</f>
        <v>1.8 Saat</v>
      </c>
      <c r="G377" s="23" t="str">
        <f>COUNTIF(G370:G376, "X") &amp; "/4"</f>
        <v>0/4</v>
      </c>
    </row>
    <row r="378" ht="22" customHeight="1" spans="1:7" x14ac:dyDescent="0.25">
      <c r="A378" s="15" t="s">
        <v>60</v>
      </c>
      <c r="B378" s="15"/>
      <c r="C378" s="15"/>
      <c r="D378" s="15"/>
      <c r="E378" s="15"/>
      <c r="F378" s="15"/>
      <c r="G378" s="15"/>
    </row>
    <row r="379" ht="22" customHeight="1" spans="1:7" x14ac:dyDescent="0.25">
      <c r="A379" s="16" t="s">
        <v>18</v>
      </c>
      <c r="B379" s="17" t="s">
        <v>43</v>
      </c>
      <c r="C379" s="17" t="s">
        <v>218</v>
      </c>
      <c r="D379" s="17" t="s">
        <v>45</v>
      </c>
      <c r="E379" s="18">
        <v>21.8</v>
      </c>
      <c r="F379" s="19" t="s">
        <v>22</v>
      </c>
      <c r="G379" s="16" t="s">
        <v>23</v>
      </c>
    </row>
    <row r="380" ht="20" customHeight="1" spans="1:7" x14ac:dyDescent="0.25">
      <c r="A380" s="20" t="s">
        <v>24</v>
      </c>
      <c r="B380" s="21" t="s">
        <v>25</v>
      </c>
      <c r="C380" s="21" t="s">
        <v>26</v>
      </c>
      <c r="D380" s="21" t="s">
        <v>27</v>
      </c>
      <c r="E380" s="22" t="s">
        <v>23</v>
      </c>
      <c r="F380" s="20" t="s">
        <v>27</v>
      </c>
      <c r="G380" s="20" t="s">
        <v>27</v>
      </c>
    </row>
    <row r="381" ht="22" customHeight="1" spans="1:7" x14ac:dyDescent="0.25">
      <c r="A381" s="16" t="s">
        <v>28</v>
      </c>
      <c r="B381" s="17" t="s">
        <v>43</v>
      </c>
      <c r="C381" s="17" t="s">
        <v>219</v>
      </c>
      <c r="D381" s="17" t="s">
        <v>45</v>
      </c>
      <c r="E381" s="18">
        <v>20.2</v>
      </c>
      <c r="F381" s="19" t="s">
        <v>22</v>
      </c>
      <c r="G381" s="16" t="s">
        <v>23</v>
      </c>
    </row>
    <row r="382" ht="20" customHeight="1" spans="1:7" x14ac:dyDescent="0.25">
      <c r="A382" s="20" t="s">
        <v>30</v>
      </c>
      <c r="B382" s="21" t="s">
        <v>25</v>
      </c>
      <c r="C382" s="21" t="s">
        <v>26</v>
      </c>
      <c r="D382" s="21" t="s">
        <v>27</v>
      </c>
      <c r="E382" s="22" t="s">
        <v>23</v>
      </c>
      <c r="F382" s="20" t="s">
        <v>27</v>
      </c>
      <c r="G382" s="20" t="s">
        <v>27</v>
      </c>
    </row>
    <row r="383" ht="22" customHeight="1" spans="1:7" x14ac:dyDescent="0.25">
      <c r="A383" s="16" t="s">
        <v>31</v>
      </c>
      <c r="B383" s="17" t="s">
        <v>63</v>
      </c>
      <c r="C383" s="17" t="s">
        <v>220</v>
      </c>
      <c r="D383" s="17" t="s">
        <v>65</v>
      </c>
      <c r="E383" s="18">
        <v>35.3</v>
      </c>
      <c r="F383" s="19" t="s">
        <v>22</v>
      </c>
      <c r="G383" s="16" t="s">
        <v>23</v>
      </c>
    </row>
    <row r="384" ht="20" customHeight="1" spans="1:7" x14ac:dyDescent="0.25">
      <c r="A384" s="20" t="s">
        <v>35</v>
      </c>
      <c r="B384" s="21" t="s">
        <v>25</v>
      </c>
      <c r="C384" s="21" t="s">
        <v>26</v>
      </c>
      <c r="D384" s="21" t="s">
        <v>27</v>
      </c>
      <c r="E384" s="22" t="s">
        <v>23</v>
      </c>
      <c r="F384" s="20" t="s">
        <v>27</v>
      </c>
      <c r="G384" s="20" t="s">
        <v>27</v>
      </c>
    </row>
    <row r="385" ht="22" customHeight="1" spans="1:7" x14ac:dyDescent="0.25">
      <c r="A385" s="16" t="s">
        <v>36</v>
      </c>
      <c r="B385" s="17" t="s">
        <v>63</v>
      </c>
      <c r="C385" s="17" t="s">
        <v>221</v>
      </c>
      <c r="D385" s="17" t="s">
        <v>65</v>
      </c>
      <c r="E385" s="18">
        <v>37.8</v>
      </c>
      <c r="F385" s="19" t="s">
        <v>22</v>
      </c>
      <c r="G385" s="16" t="s">
        <v>23</v>
      </c>
    </row>
    <row r="386" ht="24" customHeight="1" spans="1:7" x14ac:dyDescent="0.25">
      <c r="A386" s="23" t="s">
        <v>38</v>
      </c>
      <c r="B386" s="23" t="s">
        <v>39</v>
      </c>
      <c r="C386" s="24" t="s">
        <v>40</v>
      </c>
      <c r="D386" s="24" t="s">
        <v>41</v>
      </c>
      <c r="E386" s="25">
        <f>SUM(E379,E381,E383,E385)</f>
        <v>115.1</v>
      </c>
      <c r="F386" s="23" t="str">
        <f>ROUND(E386/60, 1) &amp; " Saat"</f>
        <v>1.9 Saat</v>
      </c>
      <c r="G386" s="23" t="str">
        <f>COUNTIF(G379:G385, "X") &amp; "/4"</f>
        <v>0/4</v>
      </c>
    </row>
    <row r="387" ht="22" customHeight="1" spans="1:7" x14ac:dyDescent="0.25">
      <c r="A387" s="15" t="s">
        <v>67</v>
      </c>
      <c r="B387" s="15"/>
      <c r="C387" s="15"/>
      <c r="D387" s="15"/>
      <c r="E387" s="15"/>
      <c r="F387" s="15"/>
      <c r="G387" s="15"/>
    </row>
    <row r="388" ht="22" customHeight="1" spans="1:7" x14ac:dyDescent="0.25">
      <c r="A388" s="16" t="s">
        <v>18</v>
      </c>
      <c r="B388" s="17" t="s">
        <v>68</v>
      </c>
      <c r="C388" s="17" t="s">
        <v>222</v>
      </c>
      <c r="D388" s="17" t="s">
        <v>70</v>
      </c>
      <c r="E388" s="18">
        <v>60.7</v>
      </c>
      <c r="F388" s="19" t="s">
        <v>22</v>
      </c>
      <c r="G388" s="16" t="s">
        <v>23</v>
      </c>
    </row>
    <row r="389" ht="20" customHeight="1" spans="1:7" x14ac:dyDescent="0.25">
      <c r="A389" s="20" t="s">
        <v>24</v>
      </c>
      <c r="B389" s="21" t="s">
        <v>25</v>
      </c>
      <c r="C389" s="21" t="s">
        <v>26</v>
      </c>
      <c r="D389" s="21" t="s">
        <v>27</v>
      </c>
      <c r="E389" s="22" t="s">
        <v>23</v>
      </c>
      <c r="F389" s="20" t="s">
        <v>27</v>
      </c>
      <c r="G389" s="20" t="s">
        <v>27</v>
      </c>
    </row>
    <row r="390" ht="22" customHeight="1" spans="1:7" x14ac:dyDescent="0.25">
      <c r="A390" s="16" t="s">
        <v>28</v>
      </c>
      <c r="B390" s="17" t="s">
        <v>68</v>
      </c>
      <c r="C390" s="17" t="s">
        <v>223</v>
      </c>
      <c r="D390" s="17" t="s">
        <v>70</v>
      </c>
      <c r="E390" s="18">
        <v>57.8</v>
      </c>
      <c r="F390" s="19" t="s">
        <v>22</v>
      </c>
      <c r="G390" s="16" t="s">
        <v>23</v>
      </c>
    </row>
    <row r="391" ht="20" customHeight="1" spans="1:7" x14ac:dyDescent="0.25">
      <c r="A391" s="20" t="s">
        <v>30</v>
      </c>
      <c r="B391" s="21" t="s">
        <v>25</v>
      </c>
      <c r="C391" s="21" t="s">
        <v>26</v>
      </c>
      <c r="D391" s="21" t="s">
        <v>27</v>
      </c>
      <c r="E391" s="22" t="s">
        <v>23</v>
      </c>
      <c r="F391" s="20" t="s">
        <v>27</v>
      </c>
      <c r="G391" s="20" t="s">
        <v>27</v>
      </c>
    </row>
    <row r="392" ht="22" customHeight="1" spans="1:7" x14ac:dyDescent="0.25">
      <c r="A392" s="16" t="s">
        <v>31</v>
      </c>
      <c r="B392" s="17" t="s">
        <v>56</v>
      </c>
      <c r="C392" s="17" t="s">
        <v>224</v>
      </c>
      <c r="D392" s="17" t="s">
        <v>58</v>
      </c>
      <c r="E392" s="18">
        <v>52.2</v>
      </c>
      <c r="F392" s="19" t="s">
        <v>22</v>
      </c>
      <c r="G392" s="16" t="s">
        <v>23</v>
      </c>
    </row>
    <row r="393" ht="20" customHeight="1" spans="1:7" x14ac:dyDescent="0.25">
      <c r="A393" s="20" t="s">
        <v>35</v>
      </c>
      <c r="B393" s="21" t="s">
        <v>25</v>
      </c>
      <c r="C393" s="21" t="s">
        <v>26</v>
      </c>
      <c r="D393" s="21" t="s">
        <v>27</v>
      </c>
      <c r="E393" s="22" t="s">
        <v>23</v>
      </c>
      <c r="F393" s="20" t="s">
        <v>27</v>
      </c>
      <c r="G393" s="20" t="s">
        <v>27</v>
      </c>
    </row>
    <row r="394" ht="22" customHeight="1" spans="1:7" x14ac:dyDescent="0.25">
      <c r="A394" s="16" t="s">
        <v>36</v>
      </c>
      <c r="B394" s="17" t="s">
        <v>56</v>
      </c>
      <c r="C394" s="17" t="s">
        <v>225</v>
      </c>
      <c r="D394" s="17" t="s">
        <v>58</v>
      </c>
      <c r="E394" s="18">
        <v>23.9</v>
      </c>
      <c r="F394" s="19" t="s">
        <v>22</v>
      </c>
      <c r="G394" s="16" t="s">
        <v>23</v>
      </c>
    </row>
    <row r="395" ht="24" customHeight="1" spans="1:7" x14ac:dyDescent="0.25">
      <c r="A395" s="23" t="s">
        <v>38</v>
      </c>
      <c r="B395" s="23" t="s">
        <v>39</v>
      </c>
      <c r="C395" s="24" t="s">
        <v>40</v>
      </c>
      <c r="D395" s="24" t="s">
        <v>41</v>
      </c>
      <c r="E395" s="25">
        <f>SUM(E388,E390,E392,E394)</f>
        <v>194.6</v>
      </c>
      <c r="F395" s="23" t="str">
        <f>ROUND(E395/60, 1) &amp; " Saat"</f>
        <v>3.2 Saat</v>
      </c>
      <c r="G395" s="23" t="str">
        <f>COUNTIF(G388:G394, "X") &amp; "/4"</f>
        <v>0/4</v>
      </c>
    </row>
    <row r="396" ht="22" customHeight="1" spans="1:7" x14ac:dyDescent="0.25">
      <c r="A396" s="15" t="s">
        <v>74</v>
      </c>
      <c r="B396" s="15"/>
      <c r="C396" s="15"/>
      <c r="D396" s="15"/>
      <c r="E396" s="15"/>
      <c r="F396" s="15"/>
      <c r="G396" s="15"/>
    </row>
    <row r="397" ht="22" customHeight="1" spans="1:7" x14ac:dyDescent="0.25">
      <c r="A397" s="16" t="s">
        <v>18</v>
      </c>
      <c r="B397" s="17" t="s">
        <v>47</v>
      </c>
      <c r="C397" s="17" t="s">
        <v>226</v>
      </c>
      <c r="D397" s="17" t="s">
        <v>49</v>
      </c>
      <c r="E397" s="18">
        <v>38.9</v>
      </c>
      <c r="F397" s="19" t="s">
        <v>22</v>
      </c>
      <c r="G397" s="16" t="s">
        <v>23</v>
      </c>
    </row>
    <row r="398" ht="20" customHeight="1" spans="1:7" x14ac:dyDescent="0.25">
      <c r="A398" s="20" t="s">
        <v>24</v>
      </c>
      <c r="B398" s="21" t="s">
        <v>25</v>
      </c>
      <c r="C398" s="21" t="s">
        <v>26</v>
      </c>
      <c r="D398" s="21" t="s">
        <v>27</v>
      </c>
      <c r="E398" s="22" t="s">
        <v>23</v>
      </c>
      <c r="F398" s="20" t="s">
        <v>27</v>
      </c>
      <c r="G398" s="20" t="s">
        <v>27</v>
      </c>
    </row>
    <row r="399" ht="22" customHeight="1" spans="1:7" x14ac:dyDescent="0.25">
      <c r="A399" s="16" t="s">
        <v>28</v>
      </c>
      <c r="B399" s="17" t="s">
        <v>47</v>
      </c>
      <c r="C399" s="17" t="s">
        <v>227</v>
      </c>
      <c r="D399" s="17" t="s">
        <v>49</v>
      </c>
      <c r="E399" s="18">
        <v>29.9</v>
      </c>
      <c r="F399" s="19" t="s">
        <v>22</v>
      </c>
      <c r="G399" s="16" t="s">
        <v>23</v>
      </c>
    </row>
    <row r="400" ht="20" customHeight="1" spans="1:7" x14ac:dyDescent="0.25">
      <c r="A400" s="20" t="s">
        <v>30</v>
      </c>
      <c r="B400" s="21" t="s">
        <v>25</v>
      </c>
      <c r="C400" s="21" t="s">
        <v>26</v>
      </c>
      <c r="D400" s="21" t="s">
        <v>27</v>
      </c>
      <c r="E400" s="22" t="s">
        <v>23</v>
      </c>
      <c r="F400" s="20" t="s">
        <v>27</v>
      </c>
      <c r="G400" s="20" t="s">
        <v>27</v>
      </c>
    </row>
    <row r="401" ht="22" customHeight="1" spans="1:7" x14ac:dyDescent="0.25">
      <c r="A401" s="16" t="s">
        <v>31</v>
      </c>
      <c r="B401" s="17" t="s">
        <v>52</v>
      </c>
      <c r="C401" s="17" t="s">
        <v>228</v>
      </c>
      <c r="D401" s="17" t="s">
        <v>54</v>
      </c>
      <c r="E401" s="18">
        <v>23.3</v>
      </c>
      <c r="F401" s="19" t="s">
        <v>22</v>
      </c>
      <c r="G401" s="16" t="s">
        <v>23</v>
      </c>
    </row>
    <row r="402" ht="20" customHeight="1" spans="1:7" x14ac:dyDescent="0.25">
      <c r="A402" s="20" t="s">
        <v>35</v>
      </c>
      <c r="B402" s="21" t="s">
        <v>25</v>
      </c>
      <c r="C402" s="21" t="s">
        <v>26</v>
      </c>
      <c r="D402" s="21" t="s">
        <v>27</v>
      </c>
      <c r="E402" s="22" t="s">
        <v>23</v>
      </c>
      <c r="F402" s="20" t="s">
        <v>27</v>
      </c>
      <c r="G402" s="20" t="s">
        <v>27</v>
      </c>
    </row>
    <row r="403" ht="22" customHeight="1" spans="1:7" x14ac:dyDescent="0.25">
      <c r="A403" s="16" t="s">
        <v>36</v>
      </c>
      <c r="B403" s="17" t="s">
        <v>52</v>
      </c>
      <c r="C403" s="17" t="s">
        <v>229</v>
      </c>
      <c r="D403" s="17" t="s">
        <v>54</v>
      </c>
      <c r="E403" s="18">
        <v>63.9</v>
      </c>
      <c r="F403" s="19" t="s">
        <v>22</v>
      </c>
      <c r="G403" s="16" t="s">
        <v>23</v>
      </c>
    </row>
    <row r="404" ht="24" customHeight="1" spans="1:7" x14ac:dyDescent="0.25">
      <c r="A404" s="23" t="s">
        <v>38</v>
      </c>
      <c r="B404" s="23" t="s">
        <v>39</v>
      </c>
      <c r="C404" s="24" t="s">
        <v>40</v>
      </c>
      <c r="D404" s="24" t="s">
        <v>41</v>
      </c>
      <c r="E404" s="25">
        <f>SUM(E397,E399,E401,E403)</f>
        <v>156</v>
      </c>
      <c r="F404" s="23" t="str">
        <f>ROUND(E404/60, 1) &amp; " Saat"</f>
        <v>2.6 Saat</v>
      </c>
      <c r="G404" s="23" t="str">
        <f>COUNTIF(G397:G403, "X") &amp; "/4"</f>
        <v>0/4</v>
      </c>
    </row>
    <row r="405" ht="28" customHeight="1" spans="1:7" x14ac:dyDescent="0.25">
      <c r="A405" s="26" t="s">
        <v>79</v>
      </c>
      <c r="B405" s="26"/>
      <c r="C405" s="26"/>
      <c r="D405" s="26"/>
      <c r="E405" s="26"/>
      <c r="F405" s="26"/>
      <c r="G405" s="26"/>
    </row>
    <row r="406" ht="8" customHeight="1" x14ac:dyDescent="0.25"/>
    <row r="407" ht="25" customHeight="1" spans="1:7" x14ac:dyDescent="0.25">
      <c r="A407" s="14" t="s">
        <v>230</v>
      </c>
      <c r="B407" s="14"/>
      <c r="C407" s="14"/>
      <c r="D407" s="14"/>
      <c r="E407" s="14"/>
      <c r="F407" s="14"/>
      <c r="G407" s="14"/>
    </row>
    <row r="408" ht="22" customHeight="1" spans="1:7" x14ac:dyDescent="0.25">
      <c r="A408" s="15" t="s">
        <v>17</v>
      </c>
      <c r="B408" s="15"/>
      <c r="C408" s="15"/>
      <c r="D408" s="15"/>
      <c r="E408" s="15"/>
      <c r="F408" s="15"/>
      <c r="G408" s="15"/>
    </row>
    <row r="409" ht="22" customHeight="1" spans="1:7" x14ac:dyDescent="0.25">
      <c r="A409" s="16" t="s">
        <v>18</v>
      </c>
      <c r="B409" s="17" t="s">
        <v>19</v>
      </c>
      <c r="C409" s="17" t="s">
        <v>231</v>
      </c>
      <c r="D409" s="17" t="s">
        <v>21</v>
      </c>
      <c r="E409" s="18">
        <v>12.3</v>
      </c>
      <c r="F409" s="19" t="s">
        <v>22</v>
      </c>
      <c r="G409" s="16" t="s">
        <v>23</v>
      </c>
    </row>
    <row r="410" ht="20" customHeight="1" spans="1:7" x14ac:dyDescent="0.25">
      <c r="A410" s="20" t="s">
        <v>24</v>
      </c>
      <c r="B410" s="21" t="s">
        <v>25</v>
      </c>
      <c r="C410" s="21" t="s">
        <v>26</v>
      </c>
      <c r="D410" s="21" t="s">
        <v>27</v>
      </c>
      <c r="E410" s="22" t="s">
        <v>23</v>
      </c>
      <c r="F410" s="20" t="s">
        <v>27</v>
      </c>
      <c r="G410" s="20" t="s">
        <v>27</v>
      </c>
    </row>
    <row r="411" ht="22" customHeight="1" spans="1:7" x14ac:dyDescent="0.25">
      <c r="A411" s="16" t="s">
        <v>28</v>
      </c>
      <c r="B411" s="17" t="s">
        <v>19</v>
      </c>
      <c r="C411" s="17" t="s">
        <v>232</v>
      </c>
      <c r="D411" s="17" t="s">
        <v>21</v>
      </c>
      <c r="E411" s="18">
        <v>6.5</v>
      </c>
      <c r="F411" s="19" t="s">
        <v>22</v>
      </c>
      <c r="G411" s="16" t="s">
        <v>23</v>
      </c>
    </row>
    <row r="412" ht="20" customHeight="1" spans="1:7" x14ac:dyDescent="0.25">
      <c r="A412" s="20" t="s">
        <v>30</v>
      </c>
      <c r="B412" s="21" t="s">
        <v>25</v>
      </c>
      <c r="C412" s="21" t="s">
        <v>26</v>
      </c>
      <c r="D412" s="21" t="s">
        <v>27</v>
      </c>
      <c r="E412" s="22" t="s">
        <v>23</v>
      </c>
      <c r="F412" s="20" t="s">
        <v>27</v>
      </c>
      <c r="G412" s="20" t="s">
        <v>27</v>
      </c>
    </row>
    <row r="413" ht="22" customHeight="1" spans="1:7" x14ac:dyDescent="0.25">
      <c r="A413" s="16" t="s">
        <v>31</v>
      </c>
      <c r="B413" s="17" t="s">
        <v>32</v>
      </c>
      <c r="C413" s="17" t="s">
        <v>233</v>
      </c>
      <c r="D413" s="17" t="s">
        <v>34</v>
      </c>
      <c r="E413" s="18">
        <v>52.9</v>
      </c>
      <c r="F413" s="19" t="s">
        <v>22</v>
      </c>
      <c r="G413" s="16" t="s">
        <v>23</v>
      </c>
    </row>
    <row r="414" ht="20" customHeight="1" spans="1:7" x14ac:dyDescent="0.25">
      <c r="A414" s="20" t="s">
        <v>35</v>
      </c>
      <c r="B414" s="21" t="s">
        <v>25</v>
      </c>
      <c r="C414" s="21" t="s">
        <v>26</v>
      </c>
      <c r="D414" s="21" t="s">
        <v>27</v>
      </c>
      <c r="E414" s="22" t="s">
        <v>23</v>
      </c>
      <c r="F414" s="20" t="s">
        <v>27</v>
      </c>
      <c r="G414" s="20" t="s">
        <v>27</v>
      </c>
    </row>
    <row r="415" ht="22" customHeight="1" spans="1:7" x14ac:dyDescent="0.25">
      <c r="A415" s="16" t="s">
        <v>36</v>
      </c>
      <c r="B415" s="17" t="s">
        <v>32</v>
      </c>
      <c r="C415" s="17" t="s">
        <v>234</v>
      </c>
      <c r="D415" s="17" t="s">
        <v>34</v>
      </c>
      <c r="E415" s="18">
        <v>36.9</v>
      </c>
      <c r="F415" s="19" t="s">
        <v>22</v>
      </c>
      <c r="G415" s="16" t="s">
        <v>23</v>
      </c>
    </row>
    <row r="416" ht="24" customHeight="1" spans="1:7" x14ac:dyDescent="0.25">
      <c r="A416" s="23" t="s">
        <v>38</v>
      </c>
      <c r="B416" s="23" t="s">
        <v>39</v>
      </c>
      <c r="C416" s="24" t="s">
        <v>40</v>
      </c>
      <c r="D416" s="24" t="s">
        <v>41</v>
      </c>
      <c r="E416" s="25">
        <f>SUM(E409,E411,E413,E415)</f>
        <v>108.6</v>
      </c>
      <c r="F416" s="23" t="str">
        <f>ROUND(E416/60, 1) &amp; " Saat"</f>
        <v>1.8 Saat</v>
      </c>
      <c r="G416" s="23" t="str">
        <f>COUNTIF(G409:G415, "X") &amp; "/4"</f>
        <v>0/4</v>
      </c>
    </row>
    <row r="417" ht="22" customHeight="1" spans="1:7" x14ac:dyDescent="0.25">
      <c r="A417" s="15" t="s">
        <v>42</v>
      </c>
      <c r="B417" s="15"/>
      <c r="C417" s="15"/>
      <c r="D417" s="15"/>
      <c r="E417" s="15"/>
      <c r="F417" s="15"/>
      <c r="G417" s="15"/>
    </row>
    <row r="418" ht="22" customHeight="1" spans="1:7" x14ac:dyDescent="0.25">
      <c r="A418" s="16" t="s">
        <v>18</v>
      </c>
      <c r="B418" s="17" t="s">
        <v>43</v>
      </c>
      <c r="C418" s="17" t="s">
        <v>235</v>
      </c>
      <c r="D418" s="17" t="s">
        <v>45</v>
      </c>
      <c r="E418" s="18">
        <v>50.6</v>
      </c>
      <c r="F418" s="19" t="s">
        <v>22</v>
      </c>
      <c r="G418" s="16" t="s">
        <v>23</v>
      </c>
    </row>
    <row r="419" ht="20" customHeight="1" spans="1:7" x14ac:dyDescent="0.25">
      <c r="A419" s="20" t="s">
        <v>24</v>
      </c>
      <c r="B419" s="21" t="s">
        <v>25</v>
      </c>
      <c r="C419" s="21" t="s">
        <v>26</v>
      </c>
      <c r="D419" s="21" t="s">
        <v>27</v>
      </c>
      <c r="E419" s="22" t="s">
        <v>23</v>
      </c>
      <c r="F419" s="20" t="s">
        <v>27</v>
      </c>
      <c r="G419" s="20" t="s">
        <v>27</v>
      </c>
    </row>
    <row r="420" ht="22" customHeight="1" spans="1:7" x14ac:dyDescent="0.25">
      <c r="A420" s="16" t="s">
        <v>28</v>
      </c>
      <c r="B420" s="17" t="s">
        <v>43</v>
      </c>
      <c r="C420" s="17" t="s">
        <v>236</v>
      </c>
      <c r="D420" s="17" t="s">
        <v>45</v>
      </c>
      <c r="E420" s="18">
        <v>36</v>
      </c>
      <c r="F420" s="19" t="s">
        <v>22</v>
      </c>
      <c r="G420" s="16" t="s">
        <v>23</v>
      </c>
    </row>
    <row r="421" ht="20" customHeight="1" spans="1:7" x14ac:dyDescent="0.25">
      <c r="A421" s="20" t="s">
        <v>30</v>
      </c>
      <c r="B421" s="21" t="s">
        <v>25</v>
      </c>
      <c r="C421" s="21" t="s">
        <v>26</v>
      </c>
      <c r="D421" s="21" t="s">
        <v>27</v>
      </c>
      <c r="E421" s="22" t="s">
        <v>23</v>
      </c>
      <c r="F421" s="20" t="s">
        <v>27</v>
      </c>
      <c r="G421" s="20" t="s">
        <v>27</v>
      </c>
    </row>
    <row r="422" ht="22" customHeight="1" spans="1:7" x14ac:dyDescent="0.25">
      <c r="A422" s="16" t="s">
        <v>31</v>
      </c>
      <c r="B422" s="17" t="s">
        <v>47</v>
      </c>
      <c r="C422" s="17" t="s">
        <v>237</v>
      </c>
      <c r="D422" s="17" t="s">
        <v>49</v>
      </c>
      <c r="E422" s="18">
        <v>31.5</v>
      </c>
      <c r="F422" s="19" t="s">
        <v>22</v>
      </c>
      <c r="G422" s="16" t="s">
        <v>23</v>
      </c>
    </row>
    <row r="423" ht="20" customHeight="1" spans="1:7" x14ac:dyDescent="0.25">
      <c r="A423" s="20" t="s">
        <v>35</v>
      </c>
      <c r="B423" s="21" t="s">
        <v>25</v>
      </c>
      <c r="C423" s="21" t="s">
        <v>26</v>
      </c>
      <c r="D423" s="21" t="s">
        <v>27</v>
      </c>
      <c r="E423" s="22" t="s">
        <v>23</v>
      </c>
      <c r="F423" s="20" t="s">
        <v>27</v>
      </c>
      <c r="G423" s="20" t="s">
        <v>27</v>
      </c>
    </row>
    <row r="424" ht="22" customHeight="1" spans="1:7" x14ac:dyDescent="0.25">
      <c r="A424" s="16" t="s">
        <v>36</v>
      </c>
      <c r="B424" s="17" t="s">
        <v>47</v>
      </c>
      <c r="C424" s="17" t="s">
        <v>238</v>
      </c>
      <c r="D424" s="17" t="s">
        <v>49</v>
      </c>
      <c r="E424" s="18">
        <v>40.1</v>
      </c>
      <c r="F424" s="19" t="s">
        <v>22</v>
      </c>
      <c r="G424" s="16" t="s">
        <v>23</v>
      </c>
    </row>
    <row r="425" ht="24" customHeight="1" spans="1:7" x14ac:dyDescent="0.25">
      <c r="A425" s="23" t="s">
        <v>38</v>
      </c>
      <c r="B425" s="23" t="s">
        <v>39</v>
      </c>
      <c r="C425" s="24" t="s">
        <v>40</v>
      </c>
      <c r="D425" s="24" t="s">
        <v>41</v>
      </c>
      <c r="E425" s="25">
        <f>SUM(E418,E420,E422,E424)</f>
        <v>158.2</v>
      </c>
      <c r="F425" s="23" t="str">
        <f>ROUND(E425/60, 1) &amp; " Saat"</f>
        <v>2.6 Saat</v>
      </c>
      <c r="G425" s="23" t="str">
        <f>COUNTIF(G418:G424, "X") &amp; "/4"</f>
        <v>0/4</v>
      </c>
    </row>
    <row r="426" ht="22" customHeight="1" spans="1:7" x14ac:dyDescent="0.25">
      <c r="A426" s="15" t="s">
        <v>51</v>
      </c>
      <c r="B426" s="15"/>
      <c r="C426" s="15"/>
      <c r="D426" s="15"/>
      <c r="E426" s="15"/>
      <c r="F426" s="15"/>
      <c r="G426" s="15"/>
    </row>
    <row r="427" ht="22" customHeight="1" spans="1:7" x14ac:dyDescent="0.25">
      <c r="A427" s="16" t="s">
        <v>18</v>
      </c>
      <c r="B427" s="17" t="s">
        <v>52</v>
      </c>
      <c r="C427" s="17" t="s">
        <v>239</v>
      </c>
      <c r="D427" s="17" t="s">
        <v>54</v>
      </c>
      <c r="E427" s="18">
        <v>25.5</v>
      </c>
      <c r="F427" s="19" t="s">
        <v>22</v>
      </c>
      <c r="G427" s="16" t="s">
        <v>23</v>
      </c>
    </row>
    <row r="428" ht="20" customHeight="1" spans="1:7" x14ac:dyDescent="0.25">
      <c r="A428" s="20" t="s">
        <v>24</v>
      </c>
      <c r="B428" s="21" t="s">
        <v>25</v>
      </c>
      <c r="C428" s="21" t="s">
        <v>26</v>
      </c>
      <c r="D428" s="21" t="s">
        <v>27</v>
      </c>
      <c r="E428" s="22" t="s">
        <v>23</v>
      </c>
      <c r="F428" s="20" t="s">
        <v>27</v>
      </c>
      <c r="G428" s="20" t="s">
        <v>27</v>
      </c>
    </row>
    <row r="429" ht="22" customHeight="1" spans="1:7" x14ac:dyDescent="0.25">
      <c r="A429" s="16" t="s">
        <v>28</v>
      </c>
      <c r="B429" s="17" t="s">
        <v>52</v>
      </c>
      <c r="C429" s="17" t="s">
        <v>240</v>
      </c>
      <c r="D429" s="17" t="s">
        <v>54</v>
      </c>
      <c r="E429" s="18">
        <v>45</v>
      </c>
      <c r="F429" s="19" t="s">
        <v>22</v>
      </c>
      <c r="G429" s="16" t="s">
        <v>23</v>
      </c>
    </row>
    <row r="430" ht="20" customHeight="1" spans="1:7" x14ac:dyDescent="0.25">
      <c r="A430" s="20" t="s">
        <v>30</v>
      </c>
      <c r="B430" s="21" t="s">
        <v>25</v>
      </c>
      <c r="C430" s="21" t="s">
        <v>26</v>
      </c>
      <c r="D430" s="21" t="s">
        <v>27</v>
      </c>
      <c r="E430" s="22" t="s">
        <v>23</v>
      </c>
      <c r="F430" s="20" t="s">
        <v>27</v>
      </c>
      <c r="G430" s="20" t="s">
        <v>27</v>
      </c>
    </row>
    <row r="431" ht="22" customHeight="1" spans="1:7" x14ac:dyDescent="0.25">
      <c r="A431" s="16" t="s">
        <v>31</v>
      </c>
      <c r="B431" s="17" t="s">
        <v>56</v>
      </c>
      <c r="C431" s="17" t="s">
        <v>241</v>
      </c>
      <c r="D431" s="17" t="s">
        <v>58</v>
      </c>
      <c r="E431" s="18">
        <v>77.3</v>
      </c>
      <c r="F431" s="19" t="s">
        <v>22</v>
      </c>
      <c r="G431" s="16" t="s">
        <v>23</v>
      </c>
    </row>
    <row r="432" ht="20" customHeight="1" spans="1:7" x14ac:dyDescent="0.25">
      <c r="A432" s="20" t="s">
        <v>35</v>
      </c>
      <c r="B432" s="21" t="s">
        <v>25</v>
      </c>
      <c r="C432" s="21" t="s">
        <v>26</v>
      </c>
      <c r="D432" s="21" t="s">
        <v>27</v>
      </c>
      <c r="E432" s="22" t="s">
        <v>23</v>
      </c>
      <c r="F432" s="20" t="s">
        <v>27</v>
      </c>
      <c r="G432" s="20" t="s">
        <v>27</v>
      </c>
    </row>
    <row r="433" ht="22" customHeight="1" spans="1:7" x14ac:dyDescent="0.25">
      <c r="A433" s="16" t="s">
        <v>36</v>
      </c>
      <c r="B433" s="17" t="s">
        <v>56</v>
      </c>
      <c r="C433" s="17" t="s">
        <v>242</v>
      </c>
      <c r="D433" s="17" t="s">
        <v>58</v>
      </c>
      <c r="E433" s="18">
        <v>15</v>
      </c>
      <c r="F433" s="19" t="s">
        <v>22</v>
      </c>
      <c r="G433" s="16" t="s">
        <v>23</v>
      </c>
    </row>
    <row r="434" ht="24" customHeight="1" spans="1:7" x14ac:dyDescent="0.25">
      <c r="A434" s="23" t="s">
        <v>38</v>
      </c>
      <c r="B434" s="23" t="s">
        <v>39</v>
      </c>
      <c r="C434" s="24" t="s">
        <v>40</v>
      </c>
      <c r="D434" s="24" t="s">
        <v>41</v>
      </c>
      <c r="E434" s="25">
        <f>SUM(E427,E429,E431,E433)</f>
        <v>162.8</v>
      </c>
      <c r="F434" s="23" t="str">
        <f>ROUND(E434/60, 1) &amp; " Saat"</f>
        <v>2.7 Saat</v>
      </c>
      <c r="G434" s="23" t="str">
        <f>COUNTIF(G427:G433, "X") &amp; "/4"</f>
        <v>0/4</v>
      </c>
    </row>
    <row r="435" ht="22" customHeight="1" spans="1:7" x14ac:dyDescent="0.25">
      <c r="A435" s="15" t="s">
        <v>60</v>
      </c>
      <c r="B435" s="15"/>
      <c r="C435" s="15"/>
      <c r="D435" s="15"/>
      <c r="E435" s="15"/>
      <c r="F435" s="15"/>
      <c r="G435" s="15"/>
    </row>
    <row r="436" ht="22" customHeight="1" spans="1:7" x14ac:dyDescent="0.25">
      <c r="A436" s="16" t="s">
        <v>18</v>
      </c>
      <c r="B436" s="17" t="s">
        <v>43</v>
      </c>
      <c r="C436" s="17" t="s">
        <v>243</v>
      </c>
      <c r="D436" s="17" t="s">
        <v>45</v>
      </c>
      <c r="E436" s="18">
        <v>62.6</v>
      </c>
      <c r="F436" s="19" t="s">
        <v>22</v>
      </c>
      <c r="G436" s="16" t="s">
        <v>23</v>
      </c>
    </row>
    <row r="437" ht="20" customHeight="1" spans="1:7" x14ac:dyDescent="0.25">
      <c r="A437" s="20" t="s">
        <v>24</v>
      </c>
      <c r="B437" s="21" t="s">
        <v>25</v>
      </c>
      <c r="C437" s="21" t="s">
        <v>26</v>
      </c>
      <c r="D437" s="21" t="s">
        <v>27</v>
      </c>
      <c r="E437" s="22" t="s">
        <v>23</v>
      </c>
      <c r="F437" s="20" t="s">
        <v>27</v>
      </c>
      <c r="G437" s="20" t="s">
        <v>27</v>
      </c>
    </row>
    <row r="438" ht="22" customHeight="1" spans="1:7" x14ac:dyDescent="0.25">
      <c r="A438" s="16" t="s">
        <v>28</v>
      </c>
      <c r="B438" s="17" t="s">
        <v>43</v>
      </c>
      <c r="C438" s="17" t="s">
        <v>244</v>
      </c>
      <c r="D438" s="17" t="s">
        <v>45</v>
      </c>
      <c r="E438" s="18">
        <v>51.5</v>
      </c>
      <c r="F438" s="19" t="s">
        <v>22</v>
      </c>
      <c r="G438" s="16" t="s">
        <v>23</v>
      </c>
    </row>
    <row r="439" ht="20" customHeight="1" spans="1:7" x14ac:dyDescent="0.25">
      <c r="A439" s="20" t="s">
        <v>30</v>
      </c>
      <c r="B439" s="21" t="s">
        <v>25</v>
      </c>
      <c r="C439" s="21" t="s">
        <v>26</v>
      </c>
      <c r="D439" s="21" t="s">
        <v>27</v>
      </c>
      <c r="E439" s="22" t="s">
        <v>23</v>
      </c>
      <c r="F439" s="20" t="s">
        <v>27</v>
      </c>
      <c r="G439" s="20" t="s">
        <v>27</v>
      </c>
    </row>
    <row r="440" ht="22" customHeight="1" spans="1:7" x14ac:dyDescent="0.25">
      <c r="A440" s="16" t="s">
        <v>31</v>
      </c>
      <c r="B440" s="17" t="s">
        <v>63</v>
      </c>
      <c r="C440" s="17" t="s">
        <v>245</v>
      </c>
      <c r="D440" s="17" t="s">
        <v>65</v>
      </c>
      <c r="E440" s="18">
        <v>36.2</v>
      </c>
      <c r="F440" s="19" t="s">
        <v>22</v>
      </c>
      <c r="G440" s="16" t="s">
        <v>23</v>
      </c>
    </row>
    <row r="441" ht="20" customHeight="1" spans="1:7" x14ac:dyDescent="0.25">
      <c r="A441" s="20" t="s">
        <v>35</v>
      </c>
      <c r="B441" s="21" t="s">
        <v>25</v>
      </c>
      <c r="C441" s="21" t="s">
        <v>26</v>
      </c>
      <c r="D441" s="21" t="s">
        <v>27</v>
      </c>
      <c r="E441" s="22" t="s">
        <v>23</v>
      </c>
      <c r="F441" s="20" t="s">
        <v>27</v>
      </c>
      <c r="G441" s="20" t="s">
        <v>27</v>
      </c>
    </row>
    <row r="442" ht="22" customHeight="1" spans="1:7" x14ac:dyDescent="0.25">
      <c r="A442" s="16" t="s">
        <v>36</v>
      </c>
      <c r="B442" s="17" t="s">
        <v>63</v>
      </c>
      <c r="C442" s="17" t="s">
        <v>246</v>
      </c>
      <c r="D442" s="17" t="s">
        <v>65</v>
      </c>
      <c r="E442" s="18">
        <v>19.8</v>
      </c>
      <c r="F442" s="19" t="s">
        <v>22</v>
      </c>
      <c r="G442" s="16" t="s">
        <v>23</v>
      </c>
    </row>
    <row r="443" ht="24" customHeight="1" spans="1:7" x14ac:dyDescent="0.25">
      <c r="A443" s="23" t="s">
        <v>38</v>
      </c>
      <c r="B443" s="23" t="s">
        <v>39</v>
      </c>
      <c r="C443" s="24" t="s">
        <v>40</v>
      </c>
      <c r="D443" s="24" t="s">
        <v>41</v>
      </c>
      <c r="E443" s="25">
        <f>SUM(E436,E438,E440,E442)</f>
        <v>170.1</v>
      </c>
      <c r="F443" s="23" t="str">
        <f>ROUND(E443/60, 1) &amp; " Saat"</f>
        <v>2.8 Saat</v>
      </c>
      <c r="G443" s="23" t="str">
        <f>COUNTIF(G436:G442, "X") &amp; "/4"</f>
        <v>0/4</v>
      </c>
    </row>
    <row r="444" ht="22" customHeight="1" spans="1:7" x14ac:dyDescent="0.25">
      <c r="A444" s="15" t="s">
        <v>67</v>
      </c>
      <c r="B444" s="15"/>
      <c r="C444" s="15"/>
      <c r="D444" s="15"/>
      <c r="E444" s="15"/>
      <c r="F444" s="15"/>
      <c r="G444" s="15"/>
    </row>
    <row r="445" ht="22" customHeight="1" spans="1:7" x14ac:dyDescent="0.25">
      <c r="A445" s="16" t="s">
        <v>18</v>
      </c>
      <c r="B445" s="17" t="s">
        <v>68</v>
      </c>
      <c r="C445" s="17" t="s">
        <v>247</v>
      </c>
      <c r="D445" s="17" t="s">
        <v>70</v>
      </c>
      <c r="E445" s="18">
        <v>34.1</v>
      </c>
      <c r="F445" s="19" t="s">
        <v>22</v>
      </c>
      <c r="G445" s="16" t="s">
        <v>23</v>
      </c>
    </row>
    <row r="446" ht="20" customHeight="1" spans="1:7" x14ac:dyDescent="0.25">
      <c r="A446" s="20" t="s">
        <v>24</v>
      </c>
      <c r="B446" s="21" t="s">
        <v>25</v>
      </c>
      <c r="C446" s="21" t="s">
        <v>26</v>
      </c>
      <c r="D446" s="21" t="s">
        <v>27</v>
      </c>
      <c r="E446" s="22" t="s">
        <v>23</v>
      </c>
      <c r="F446" s="20" t="s">
        <v>27</v>
      </c>
      <c r="G446" s="20" t="s">
        <v>27</v>
      </c>
    </row>
    <row r="447" ht="22" customHeight="1" spans="1:7" x14ac:dyDescent="0.25">
      <c r="A447" s="16" t="s">
        <v>28</v>
      </c>
      <c r="B447" s="17" t="s">
        <v>68</v>
      </c>
      <c r="C447" s="17" t="s">
        <v>248</v>
      </c>
      <c r="D447" s="17" t="s">
        <v>70</v>
      </c>
      <c r="E447" s="18">
        <v>58.2</v>
      </c>
      <c r="F447" s="19" t="s">
        <v>22</v>
      </c>
      <c r="G447" s="16" t="s">
        <v>23</v>
      </c>
    </row>
    <row r="448" ht="20" customHeight="1" spans="1:7" x14ac:dyDescent="0.25">
      <c r="A448" s="20" t="s">
        <v>30</v>
      </c>
      <c r="B448" s="21" t="s">
        <v>25</v>
      </c>
      <c r="C448" s="21" t="s">
        <v>26</v>
      </c>
      <c r="D448" s="21" t="s">
        <v>27</v>
      </c>
      <c r="E448" s="22" t="s">
        <v>23</v>
      </c>
      <c r="F448" s="20" t="s">
        <v>27</v>
      </c>
      <c r="G448" s="20" t="s">
        <v>27</v>
      </c>
    </row>
    <row r="449" ht="22" customHeight="1" spans="1:7" x14ac:dyDescent="0.25">
      <c r="A449" s="16" t="s">
        <v>31</v>
      </c>
      <c r="B449" s="17" t="s">
        <v>56</v>
      </c>
      <c r="C449" s="17" t="s">
        <v>249</v>
      </c>
      <c r="D449" s="17" t="s">
        <v>58</v>
      </c>
      <c r="E449" s="18">
        <v>29.6</v>
      </c>
      <c r="F449" s="19" t="s">
        <v>22</v>
      </c>
      <c r="G449" s="16" t="s">
        <v>23</v>
      </c>
    </row>
    <row r="450" ht="20" customHeight="1" spans="1:7" x14ac:dyDescent="0.25">
      <c r="A450" s="20" t="s">
        <v>35</v>
      </c>
      <c r="B450" s="21" t="s">
        <v>25</v>
      </c>
      <c r="C450" s="21" t="s">
        <v>26</v>
      </c>
      <c r="D450" s="21" t="s">
        <v>27</v>
      </c>
      <c r="E450" s="22" t="s">
        <v>23</v>
      </c>
      <c r="F450" s="20" t="s">
        <v>27</v>
      </c>
      <c r="G450" s="20" t="s">
        <v>27</v>
      </c>
    </row>
    <row r="451" ht="22" customHeight="1" spans="1:7" x14ac:dyDescent="0.25">
      <c r="A451" s="16" t="s">
        <v>36</v>
      </c>
      <c r="B451" s="17" t="s">
        <v>56</v>
      </c>
      <c r="C451" s="17" t="s">
        <v>250</v>
      </c>
      <c r="D451" s="17" t="s">
        <v>58</v>
      </c>
      <c r="E451" s="18">
        <v>59.8</v>
      </c>
      <c r="F451" s="19" t="s">
        <v>22</v>
      </c>
      <c r="G451" s="16" t="s">
        <v>23</v>
      </c>
    </row>
    <row r="452" ht="24" customHeight="1" spans="1:7" x14ac:dyDescent="0.25">
      <c r="A452" s="23" t="s">
        <v>38</v>
      </c>
      <c r="B452" s="23" t="s">
        <v>39</v>
      </c>
      <c r="C452" s="24" t="s">
        <v>40</v>
      </c>
      <c r="D452" s="24" t="s">
        <v>41</v>
      </c>
      <c r="E452" s="25">
        <f>SUM(E445,E447,E449,E451)</f>
        <v>181.7</v>
      </c>
      <c r="F452" s="23" t="str">
        <f>ROUND(E452/60, 1) &amp; " Saat"</f>
        <v>3.0 Saat</v>
      </c>
      <c r="G452" s="23" t="str">
        <f>COUNTIF(G445:G451, "X") &amp; "/4"</f>
        <v>0/4</v>
      </c>
    </row>
    <row r="453" ht="22" customHeight="1" spans="1:7" x14ac:dyDescent="0.25">
      <c r="A453" s="15" t="s">
        <v>74</v>
      </c>
      <c r="B453" s="15"/>
      <c r="C453" s="15"/>
      <c r="D453" s="15"/>
      <c r="E453" s="15"/>
      <c r="F453" s="15"/>
      <c r="G453" s="15"/>
    </row>
    <row r="454" ht="22" customHeight="1" spans="1:7" x14ac:dyDescent="0.25">
      <c r="A454" s="16" t="s">
        <v>18</v>
      </c>
      <c r="B454" s="17" t="s">
        <v>47</v>
      </c>
      <c r="C454" s="17" t="s">
        <v>251</v>
      </c>
      <c r="D454" s="17" t="s">
        <v>49</v>
      </c>
      <c r="E454" s="18">
        <v>42.3</v>
      </c>
      <c r="F454" s="19" t="s">
        <v>22</v>
      </c>
      <c r="G454" s="16" t="s">
        <v>23</v>
      </c>
    </row>
    <row r="455" ht="20" customHeight="1" spans="1:7" x14ac:dyDescent="0.25">
      <c r="A455" s="20" t="s">
        <v>24</v>
      </c>
      <c r="B455" s="21" t="s">
        <v>25</v>
      </c>
      <c r="C455" s="21" t="s">
        <v>26</v>
      </c>
      <c r="D455" s="21" t="s">
        <v>27</v>
      </c>
      <c r="E455" s="22" t="s">
        <v>23</v>
      </c>
      <c r="F455" s="20" t="s">
        <v>27</v>
      </c>
      <c r="G455" s="20" t="s">
        <v>27</v>
      </c>
    </row>
    <row r="456" ht="22" customHeight="1" spans="1:7" x14ac:dyDescent="0.25">
      <c r="A456" s="16" t="s">
        <v>28</v>
      </c>
      <c r="B456" s="17" t="s">
        <v>47</v>
      </c>
      <c r="C456" s="17" t="s">
        <v>252</v>
      </c>
      <c r="D456" s="17" t="s">
        <v>49</v>
      </c>
      <c r="E456" s="18">
        <v>22.5</v>
      </c>
      <c r="F456" s="19" t="s">
        <v>22</v>
      </c>
      <c r="G456" s="16" t="s">
        <v>23</v>
      </c>
    </row>
    <row r="457" ht="20" customHeight="1" spans="1:7" x14ac:dyDescent="0.25">
      <c r="A457" s="20" t="s">
        <v>30</v>
      </c>
      <c r="B457" s="21" t="s">
        <v>25</v>
      </c>
      <c r="C457" s="21" t="s">
        <v>26</v>
      </c>
      <c r="D457" s="21" t="s">
        <v>27</v>
      </c>
      <c r="E457" s="22" t="s">
        <v>23</v>
      </c>
      <c r="F457" s="20" t="s">
        <v>27</v>
      </c>
      <c r="G457" s="20" t="s">
        <v>27</v>
      </c>
    </row>
    <row r="458" ht="22" customHeight="1" spans="1:7" x14ac:dyDescent="0.25">
      <c r="A458" s="16" t="s">
        <v>31</v>
      </c>
      <c r="B458" s="17" t="s">
        <v>52</v>
      </c>
      <c r="C458" s="17" t="s">
        <v>253</v>
      </c>
      <c r="D458" s="17" t="s">
        <v>54</v>
      </c>
      <c r="E458" s="18">
        <v>20.8</v>
      </c>
      <c r="F458" s="19" t="s">
        <v>22</v>
      </c>
      <c r="G458" s="16" t="s">
        <v>23</v>
      </c>
    </row>
    <row r="459" ht="20" customHeight="1" spans="1:7" x14ac:dyDescent="0.25">
      <c r="A459" s="20" t="s">
        <v>35</v>
      </c>
      <c r="B459" s="21" t="s">
        <v>25</v>
      </c>
      <c r="C459" s="21" t="s">
        <v>26</v>
      </c>
      <c r="D459" s="21" t="s">
        <v>27</v>
      </c>
      <c r="E459" s="22" t="s">
        <v>23</v>
      </c>
      <c r="F459" s="20" t="s">
        <v>27</v>
      </c>
      <c r="G459" s="20" t="s">
        <v>27</v>
      </c>
    </row>
    <row r="460" ht="22" customHeight="1" spans="1:7" x14ac:dyDescent="0.25">
      <c r="A460" s="16" t="s">
        <v>36</v>
      </c>
      <c r="B460" s="17" t="s">
        <v>52</v>
      </c>
      <c r="C460" s="17" t="s">
        <v>254</v>
      </c>
      <c r="D460" s="17" t="s">
        <v>54</v>
      </c>
      <c r="E460" s="18">
        <v>32.6</v>
      </c>
      <c r="F460" s="19" t="s">
        <v>22</v>
      </c>
      <c r="G460" s="16" t="s">
        <v>23</v>
      </c>
    </row>
    <row r="461" ht="24" customHeight="1" spans="1:7" x14ac:dyDescent="0.25">
      <c r="A461" s="23" t="s">
        <v>38</v>
      </c>
      <c r="B461" s="23" t="s">
        <v>39</v>
      </c>
      <c r="C461" s="24" t="s">
        <v>40</v>
      </c>
      <c r="D461" s="24" t="s">
        <v>41</v>
      </c>
      <c r="E461" s="25">
        <f>SUM(E454,E456,E458,E460)</f>
        <v>118.2</v>
      </c>
      <c r="F461" s="23" t="str">
        <f>ROUND(E461/60, 1) &amp; " Saat"</f>
        <v>2.0 Saat</v>
      </c>
      <c r="G461" s="23" t="str">
        <f>COUNTIF(G454:G460, "X") &amp; "/4"</f>
        <v>0/4</v>
      </c>
    </row>
    <row r="462" ht="28" customHeight="1" spans="1:7" x14ac:dyDescent="0.25">
      <c r="A462" s="26" t="s">
        <v>79</v>
      </c>
      <c r="B462" s="26"/>
      <c r="C462" s="26"/>
      <c r="D462" s="26"/>
      <c r="E462" s="26"/>
      <c r="F462" s="26"/>
      <c r="G462" s="26"/>
    </row>
    <row r="463" ht="8" customHeight="1" x14ac:dyDescent="0.25"/>
    <row r="464" ht="25" customHeight="1" spans="1:7" x14ac:dyDescent="0.25">
      <c r="A464" s="14" t="s">
        <v>255</v>
      </c>
      <c r="B464" s="14"/>
      <c r="C464" s="14"/>
      <c r="D464" s="14"/>
      <c r="E464" s="14"/>
      <c r="F464" s="14"/>
      <c r="G464" s="14"/>
    </row>
    <row r="465" ht="22" customHeight="1" spans="1:7" x14ac:dyDescent="0.25">
      <c r="A465" s="15" t="s">
        <v>17</v>
      </c>
      <c r="B465" s="15"/>
      <c r="C465" s="15"/>
      <c r="D465" s="15"/>
      <c r="E465" s="15"/>
      <c r="F465" s="15"/>
      <c r="G465" s="15"/>
    </row>
    <row r="466" ht="22" customHeight="1" spans="1:7" x14ac:dyDescent="0.25">
      <c r="A466" s="16" t="s">
        <v>18</v>
      </c>
      <c r="B466" s="17" t="s">
        <v>19</v>
      </c>
      <c r="C466" s="17" t="s">
        <v>256</v>
      </c>
      <c r="D466" s="17" t="s">
        <v>21</v>
      </c>
      <c r="E466" s="18">
        <v>22.6</v>
      </c>
      <c r="F466" s="19" t="s">
        <v>22</v>
      </c>
      <c r="G466" s="16" t="s">
        <v>23</v>
      </c>
    </row>
    <row r="467" ht="20" customHeight="1" spans="1:7" x14ac:dyDescent="0.25">
      <c r="A467" s="20" t="s">
        <v>24</v>
      </c>
      <c r="B467" s="21" t="s">
        <v>25</v>
      </c>
      <c r="C467" s="21" t="s">
        <v>26</v>
      </c>
      <c r="D467" s="21" t="s">
        <v>27</v>
      </c>
      <c r="E467" s="22" t="s">
        <v>23</v>
      </c>
      <c r="F467" s="20" t="s">
        <v>27</v>
      </c>
      <c r="G467" s="20" t="s">
        <v>27</v>
      </c>
    </row>
    <row r="468" ht="22" customHeight="1" spans="1:7" x14ac:dyDescent="0.25">
      <c r="A468" s="16" t="s">
        <v>28</v>
      </c>
      <c r="B468" s="17" t="s">
        <v>19</v>
      </c>
      <c r="C468" s="17" t="s">
        <v>257</v>
      </c>
      <c r="D468" s="17" t="s">
        <v>21</v>
      </c>
      <c r="E468" s="18">
        <v>20.8</v>
      </c>
      <c r="F468" s="19" t="s">
        <v>22</v>
      </c>
      <c r="G468" s="16" t="s">
        <v>23</v>
      </c>
    </row>
    <row r="469" ht="20" customHeight="1" spans="1:7" x14ac:dyDescent="0.25">
      <c r="A469" s="20" t="s">
        <v>30</v>
      </c>
      <c r="B469" s="21" t="s">
        <v>25</v>
      </c>
      <c r="C469" s="21" t="s">
        <v>26</v>
      </c>
      <c r="D469" s="21" t="s">
        <v>27</v>
      </c>
      <c r="E469" s="22" t="s">
        <v>23</v>
      </c>
      <c r="F469" s="20" t="s">
        <v>27</v>
      </c>
      <c r="G469" s="20" t="s">
        <v>27</v>
      </c>
    </row>
    <row r="470" ht="22" customHeight="1" spans="1:7" x14ac:dyDescent="0.25">
      <c r="A470" s="16" t="s">
        <v>31</v>
      </c>
      <c r="B470" s="17" t="s">
        <v>32</v>
      </c>
      <c r="C470" s="17" t="s">
        <v>258</v>
      </c>
      <c r="D470" s="17" t="s">
        <v>34</v>
      </c>
      <c r="E470" s="18">
        <v>42.8</v>
      </c>
      <c r="F470" s="19" t="s">
        <v>22</v>
      </c>
      <c r="G470" s="16" t="s">
        <v>23</v>
      </c>
    </row>
    <row r="471" ht="20" customHeight="1" spans="1:7" x14ac:dyDescent="0.25">
      <c r="A471" s="20" t="s">
        <v>35</v>
      </c>
      <c r="B471" s="21" t="s">
        <v>25</v>
      </c>
      <c r="C471" s="21" t="s">
        <v>26</v>
      </c>
      <c r="D471" s="21" t="s">
        <v>27</v>
      </c>
      <c r="E471" s="22" t="s">
        <v>23</v>
      </c>
      <c r="F471" s="20" t="s">
        <v>27</v>
      </c>
      <c r="G471" s="20" t="s">
        <v>27</v>
      </c>
    </row>
    <row r="472" ht="22" customHeight="1" spans="1:7" x14ac:dyDescent="0.25">
      <c r="A472" s="16" t="s">
        <v>36</v>
      </c>
      <c r="B472" s="17" t="s">
        <v>32</v>
      </c>
      <c r="C472" s="17" t="s">
        <v>259</v>
      </c>
      <c r="D472" s="17" t="s">
        <v>34</v>
      </c>
      <c r="E472" s="18">
        <v>25.9</v>
      </c>
      <c r="F472" s="19" t="s">
        <v>22</v>
      </c>
      <c r="G472" s="16" t="s">
        <v>23</v>
      </c>
    </row>
    <row r="473" ht="24" customHeight="1" spans="1:7" x14ac:dyDescent="0.25">
      <c r="A473" s="23" t="s">
        <v>38</v>
      </c>
      <c r="B473" s="23" t="s">
        <v>39</v>
      </c>
      <c r="C473" s="24" t="s">
        <v>40</v>
      </c>
      <c r="D473" s="24" t="s">
        <v>41</v>
      </c>
      <c r="E473" s="25">
        <f>SUM(E466,E468,E470,E472)</f>
        <v>112.1</v>
      </c>
      <c r="F473" s="23" t="str">
        <f>ROUND(E473/60, 1) &amp; " Saat"</f>
        <v>1.9 Saat</v>
      </c>
      <c r="G473" s="23" t="str">
        <f>COUNTIF(G466:G472, "X") &amp; "/4"</f>
        <v>0/4</v>
      </c>
    </row>
    <row r="474" ht="22" customHeight="1" spans="1:7" x14ac:dyDescent="0.25">
      <c r="A474" s="15" t="s">
        <v>42</v>
      </c>
      <c r="B474" s="15"/>
      <c r="C474" s="15"/>
      <c r="D474" s="15"/>
      <c r="E474" s="15"/>
      <c r="F474" s="15"/>
      <c r="G474" s="15"/>
    </row>
    <row r="475" ht="22" customHeight="1" spans="1:7" x14ac:dyDescent="0.25">
      <c r="A475" s="16" t="s">
        <v>18</v>
      </c>
      <c r="B475" s="17" t="s">
        <v>43</v>
      </c>
      <c r="C475" s="17" t="s">
        <v>260</v>
      </c>
      <c r="D475" s="17" t="s">
        <v>45</v>
      </c>
      <c r="E475" s="18">
        <v>48.3</v>
      </c>
      <c r="F475" s="19" t="s">
        <v>22</v>
      </c>
      <c r="G475" s="16" t="s">
        <v>23</v>
      </c>
    </row>
    <row r="476" ht="20" customHeight="1" spans="1:7" x14ac:dyDescent="0.25">
      <c r="A476" s="20" t="s">
        <v>24</v>
      </c>
      <c r="B476" s="21" t="s">
        <v>25</v>
      </c>
      <c r="C476" s="21" t="s">
        <v>26</v>
      </c>
      <c r="D476" s="21" t="s">
        <v>27</v>
      </c>
      <c r="E476" s="22" t="s">
        <v>23</v>
      </c>
      <c r="F476" s="20" t="s">
        <v>27</v>
      </c>
      <c r="G476" s="20" t="s">
        <v>27</v>
      </c>
    </row>
    <row r="477" ht="22" customHeight="1" spans="1:7" x14ac:dyDescent="0.25">
      <c r="A477" s="16" t="s">
        <v>28</v>
      </c>
      <c r="B477" s="17" t="s">
        <v>43</v>
      </c>
      <c r="C477" s="17" t="s">
        <v>261</v>
      </c>
      <c r="D477" s="17" t="s">
        <v>45</v>
      </c>
      <c r="E477" s="18">
        <v>32.4</v>
      </c>
      <c r="F477" s="19" t="s">
        <v>22</v>
      </c>
      <c r="G477" s="16" t="s">
        <v>23</v>
      </c>
    </row>
    <row r="478" ht="20" customHeight="1" spans="1:7" x14ac:dyDescent="0.25">
      <c r="A478" s="20" t="s">
        <v>30</v>
      </c>
      <c r="B478" s="21" t="s">
        <v>25</v>
      </c>
      <c r="C478" s="21" t="s">
        <v>26</v>
      </c>
      <c r="D478" s="21" t="s">
        <v>27</v>
      </c>
      <c r="E478" s="22" t="s">
        <v>23</v>
      </c>
      <c r="F478" s="20" t="s">
        <v>27</v>
      </c>
      <c r="G478" s="20" t="s">
        <v>27</v>
      </c>
    </row>
    <row r="479" ht="22" customHeight="1" spans="1:7" x14ac:dyDescent="0.25">
      <c r="A479" s="16" t="s">
        <v>31</v>
      </c>
      <c r="B479" s="17" t="s">
        <v>47</v>
      </c>
      <c r="C479" s="17" t="s">
        <v>262</v>
      </c>
      <c r="D479" s="17" t="s">
        <v>49</v>
      </c>
      <c r="E479" s="18">
        <v>30.4</v>
      </c>
      <c r="F479" s="19" t="s">
        <v>22</v>
      </c>
      <c r="G479" s="16" t="s">
        <v>23</v>
      </c>
    </row>
    <row r="480" ht="20" customHeight="1" spans="1:7" x14ac:dyDescent="0.25">
      <c r="A480" s="20" t="s">
        <v>35</v>
      </c>
      <c r="B480" s="21" t="s">
        <v>25</v>
      </c>
      <c r="C480" s="21" t="s">
        <v>26</v>
      </c>
      <c r="D480" s="21" t="s">
        <v>27</v>
      </c>
      <c r="E480" s="22" t="s">
        <v>23</v>
      </c>
      <c r="F480" s="20" t="s">
        <v>27</v>
      </c>
      <c r="G480" s="20" t="s">
        <v>27</v>
      </c>
    </row>
    <row r="481" ht="22" customHeight="1" spans="1:7" x14ac:dyDescent="0.25">
      <c r="A481" s="16" t="s">
        <v>36</v>
      </c>
      <c r="B481" s="17" t="s">
        <v>47</v>
      </c>
      <c r="C481" s="17" t="s">
        <v>263</v>
      </c>
      <c r="D481" s="17" t="s">
        <v>49</v>
      </c>
      <c r="E481" s="18">
        <v>27.8</v>
      </c>
      <c r="F481" s="19" t="s">
        <v>22</v>
      </c>
      <c r="G481" s="16" t="s">
        <v>23</v>
      </c>
    </row>
    <row r="482" ht="24" customHeight="1" spans="1:7" x14ac:dyDescent="0.25">
      <c r="A482" s="23" t="s">
        <v>38</v>
      </c>
      <c r="B482" s="23" t="s">
        <v>39</v>
      </c>
      <c r="C482" s="24" t="s">
        <v>40</v>
      </c>
      <c r="D482" s="24" t="s">
        <v>41</v>
      </c>
      <c r="E482" s="25">
        <f>SUM(E475,E477,E479,E481)</f>
        <v>138.9</v>
      </c>
      <c r="F482" s="23" t="str">
        <f>ROUND(E482/60, 1) &amp; " Saat"</f>
        <v>2.3 Saat</v>
      </c>
      <c r="G482" s="23" t="str">
        <f>COUNTIF(G475:G481, "X") &amp; "/4"</f>
        <v>0/4</v>
      </c>
    </row>
    <row r="483" ht="22" customHeight="1" spans="1:7" x14ac:dyDescent="0.25">
      <c r="A483" s="15" t="s">
        <v>51</v>
      </c>
      <c r="B483" s="15"/>
      <c r="C483" s="15"/>
      <c r="D483" s="15"/>
      <c r="E483" s="15"/>
      <c r="F483" s="15"/>
      <c r="G483" s="15"/>
    </row>
    <row r="484" ht="22" customHeight="1" spans="1:7" x14ac:dyDescent="0.25">
      <c r="A484" s="16" t="s">
        <v>18</v>
      </c>
      <c r="B484" s="17" t="s">
        <v>52</v>
      </c>
      <c r="C484" s="17" t="s">
        <v>264</v>
      </c>
      <c r="D484" s="17" t="s">
        <v>54</v>
      </c>
      <c r="E484" s="18">
        <v>18.3</v>
      </c>
      <c r="F484" s="19" t="s">
        <v>22</v>
      </c>
      <c r="G484" s="16" t="s">
        <v>23</v>
      </c>
    </row>
    <row r="485" ht="20" customHeight="1" spans="1:7" x14ac:dyDescent="0.25">
      <c r="A485" s="20" t="s">
        <v>24</v>
      </c>
      <c r="B485" s="21" t="s">
        <v>25</v>
      </c>
      <c r="C485" s="21" t="s">
        <v>26</v>
      </c>
      <c r="D485" s="21" t="s">
        <v>27</v>
      </c>
      <c r="E485" s="22" t="s">
        <v>23</v>
      </c>
      <c r="F485" s="20" t="s">
        <v>27</v>
      </c>
      <c r="G485" s="20" t="s">
        <v>27</v>
      </c>
    </row>
    <row r="486" ht="22" customHeight="1" spans="1:7" x14ac:dyDescent="0.25">
      <c r="A486" s="16" t="s">
        <v>28</v>
      </c>
      <c r="B486" s="17" t="s">
        <v>52</v>
      </c>
      <c r="C486" s="17" t="s">
        <v>265</v>
      </c>
      <c r="D486" s="17" t="s">
        <v>54</v>
      </c>
      <c r="E486" s="18">
        <v>29.8</v>
      </c>
      <c r="F486" s="19" t="s">
        <v>22</v>
      </c>
      <c r="G486" s="16" t="s">
        <v>23</v>
      </c>
    </row>
    <row r="487" ht="20" customHeight="1" spans="1:7" x14ac:dyDescent="0.25">
      <c r="A487" s="20" t="s">
        <v>30</v>
      </c>
      <c r="B487" s="21" t="s">
        <v>25</v>
      </c>
      <c r="C487" s="21" t="s">
        <v>26</v>
      </c>
      <c r="D487" s="21" t="s">
        <v>27</v>
      </c>
      <c r="E487" s="22" t="s">
        <v>23</v>
      </c>
      <c r="F487" s="20" t="s">
        <v>27</v>
      </c>
      <c r="G487" s="20" t="s">
        <v>27</v>
      </c>
    </row>
    <row r="488" ht="22" customHeight="1" spans="1:7" x14ac:dyDescent="0.25">
      <c r="A488" s="16" t="s">
        <v>31</v>
      </c>
      <c r="B488" s="17" t="s">
        <v>56</v>
      </c>
      <c r="C488" s="17" t="s">
        <v>266</v>
      </c>
      <c r="D488" s="17" t="s">
        <v>58</v>
      </c>
      <c r="E488" s="18">
        <v>49.8</v>
      </c>
      <c r="F488" s="19" t="s">
        <v>22</v>
      </c>
      <c r="G488" s="16" t="s">
        <v>23</v>
      </c>
    </row>
    <row r="489" ht="20" customHeight="1" spans="1:7" x14ac:dyDescent="0.25">
      <c r="A489" s="20" t="s">
        <v>35</v>
      </c>
      <c r="B489" s="21" t="s">
        <v>25</v>
      </c>
      <c r="C489" s="21" t="s">
        <v>26</v>
      </c>
      <c r="D489" s="21" t="s">
        <v>27</v>
      </c>
      <c r="E489" s="22" t="s">
        <v>23</v>
      </c>
      <c r="F489" s="20" t="s">
        <v>27</v>
      </c>
      <c r="G489" s="20" t="s">
        <v>27</v>
      </c>
    </row>
    <row r="490" ht="22" customHeight="1" spans="1:7" x14ac:dyDescent="0.25">
      <c r="A490" s="16" t="s">
        <v>36</v>
      </c>
      <c r="B490" s="17" t="s">
        <v>56</v>
      </c>
      <c r="C490" s="17" t="s">
        <v>267</v>
      </c>
      <c r="D490" s="17" t="s">
        <v>58</v>
      </c>
      <c r="E490" s="18">
        <v>21.8</v>
      </c>
      <c r="F490" s="19" t="s">
        <v>22</v>
      </c>
      <c r="G490" s="16" t="s">
        <v>23</v>
      </c>
    </row>
    <row r="491" ht="24" customHeight="1" spans="1:7" x14ac:dyDescent="0.25">
      <c r="A491" s="23" t="s">
        <v>38</v>
      </c>
      <c r="B491" s="23" t="s">
        <v>39</v>
      </c>
      <c r="C491" s="24" t="s">
        <v>40</v>
      </c>
      <c r="D491" s="24" t="s">
        <v>41</v>
      </c>
      <c r="E491" s="25">
        <f>SUM(E484,E486,E488,E490)</f>
        <v>119.7</v>
      </c>
      <c r="F491" s="23" t="str">
        <f>ROUND(E491/60, 1) &amp; " Saat"</f>
        <v>2.0 Saat</v>
      </c>
      <c r="G491" s="23" t="str">
        <f>COUNTIF(G484:G490, "X") &amp; "/4"</f>
        <v>0/4</v>
      </c>
    </row>
    <row r="492" ht="22" customHeight="1" spans="1:7" x14ac:dyDescent="0.25">
      <c r="A492" s="15" t="s">
        <v>60</v>
      </c>
      <c r="B492" s="15"/>
      <c r="C492" s="15"/>
      <c r="D492" s="15"/>
      <c r="E492" s="15"/>
      <c r="F492" s="15"/>
      <c r="G492" s="15"/>
    </row>
    <row r="493" ht="22" customHeight="1" spans="1:7" x14ac:dyDescent="0.25">
      <c r="A493" s="16" t="s">
        <v>18</v>
      </c>
      <c r="B493" s="17" t="s">
        <v>43</v>
      </c>
      <c r="C493" s="17" t="s">
        <v>268</v>
      </c>
      <c r="D493" s="17" t="s">
        <v>45</v>
      </c>
      <c r="E493" s="18">
        <v>51.9</v>
      </c>
      <c r="F493" s="19" t="s">
        <v>22</v>
      </c>
      <c r="G493" s="16" t="s">
        <v>23</v>
      </c>
    </row>
    <row r="494" ht="20" customHeight="1" spans="1:7" x14ac:dyDescent="0.25">
      <c r="A494" s="20" t="s">
        <v>24</v>
      </c>
      <c r="B494" s="21" t="s">
        <v>25</v>
      </c>
      <c r="C494" s="21" t="s">
        <v>26</v>
      </c>
      <c r="D494" s="21" t="s">
        <v>27</v>
      </c>
      <c r="E494" s="22" t="s">
        <v>23</v>
      </c>
      <c r="F494" s="20" t="s">
        <v>27</v>
      </c>
      <c r="G494" s="20" t="s">
        <v>27</v>
      </c>
    </row>
    <row r="495" ht="22" customHeight="1" spans="1:7" x14ac:dyDescent="0.25">
      <c r="A495" s="16" t="s">
        <v>28</v>
      </c>
      <c r="B495" s="17" t="s">
        <v>43</v>
      </c>
      <c r="C495" s="17" t="s">
        <v>269</v>
      </c>
      <c r="D495" s="17" t="s">
        <v>45</v>
      </c>
      <c r="E495" s="18">
        <v>52.1</v>
      </c>
      <c r="F495" s="19" t="s">
        <v>22</v>
      </c>
      <c r="G495" s="16" t="s">
        <v>23</v>
      </c>
    </row>
    <row r="496" ht="20" customHeight="1" spans="1:7" x14ac:dyDescent="0.25">
      <c r="A496" s="20" t="s">
        <v>30</v>
      </c>
      <c r="B496" s="21" t="s">
        <v>25</v>
      </c>
      <c r="C496" s="21" t="s">
        <v>26</v>
      </c>
      <c r="D496" s="21" t="s">
        <v>27</v>
      </c>
      <c r="E496" s="22" t="s">
        <v>23</v>
      </c>
      <c r="F496" s="20" t="s">
        <v>27</v>
      </c>
      <c r="G496" s="20" t="s">
        <v>27</v>
      </c>
    </row>
    <row r="497" ht="22" customHeight="1" spans="1:7" x14ac:dyDescent="0.25">
      <c r="A497" s="16" t="s">
        <v>31</v>
      </c>
      <c r="B497" s="17" t="s">
        <v>63</v>
      </c>
      <c r="C497" s="17" t="s">
        <v>270</v>
      </c>
      <c r="D497" s="17" t="s">
        <v>65</v>
      </c>
      <c r="E497" s="18">
        <v>19.1</v>
      </c>
      <c r="F497" s="19" t="s">
        <v>22</v>
      </c>
      <c r="G497" s="16" t="s">
        <v>23</v>
      </c>
    </row>
    <row r="498" ht="20" customHeight="1" spans="1:7" x14ac:dyDescent="0.25">
      <c r="A498" s="20" t="s">
        <v>35</v>
      </c>
      <c r="B498" s="21" t="s">
        <v>25</v>
      </c>
      <c r="C498" s="21" t="s">
        <v>26</v>
      </c>
      <c r="D498" s="21" t="s">
        <v>27</v>
      </c>
      <c r="E498" s="22" t="s">
        <v>23</v>
      </c>
      <c r="F498" s="20" t="s">
        <v>27</v>
      </c>
      <c r="G498" s="20" t="s">
        <v>27</v>
      </c>
    </row>
    <row r="499" ht="22" customHeight="1" spans="1:7" x14ac:dyDescent="0.25">
      <c r="A499" s="16" t="s">
        <v>36</v>
      </c>
      <c r="B499" s="17" t="s">
        <v>63</v>
      </c>
      <c r="C499" s="17" t="s">
        <v>271</v>
      </c>
      <c r="D499" s="17" t="s">
        <v>65</v>
      </c>
      <c r="E499" s="18">
        <v>14.5</v>
      </c>
      <c r="F499" s="19" t="s">
        <v>22</v>
      </c>
      <c r="G499" s="16" t="s">
        <v>23</v>
      </c>
    </row>
    <row r="500" ht="24" customHeight="1" spans="1:7" x14ac:dyDescent="0.25">
      <c r="A500" s="23" t="s">
        <v>38</v>
      </c>
      <c r="B500" s="23" t="s">
        <v>39</v>
      </c>
      <c r="C500" s="24" t="s">
        <v>40</v>
      </c>
      <c r="D500" s="24" t="s">
        <v>41</v>
      </c>
      <c r="E500" s="25">
        <f>SUM(E493,E495,E497,E499)</f>
        <v>137.6</v>
      </c>
      <c r="F500" s="23" t="str">
        <f>ROUND(E500/60, 1) &amp; " Saat"</f>
        <v>2.3 Saat</v>
      </c>
      <c r="G500" s="23" t="str">
        <f>COUNTIF(G493:G499, "X") &amp; "/4"</f>
        <v>0/4</v>
      </c>
    </row>
    <row r="501" ht="22" customHeight="1" spans="1:7" x14ac:dyDescent="0.25">
      <c r="A501" s="15" t="s">
        <v>67</v>
      </c>
      <c r="B501" s="15"/>
      <c r="C501" s="15"/>
      <c r="D501" s="15"/>
      <c r="E501" s="15"/>
      <c r="F501" s="15"/>
      <c r="G501" s="15"/>
    </row>
    <row r="502" ht="22" customHeight="1" spans="1:7" x14ac:dyDescent="0.25">
      <c r="A502" s="16" t="s">
        <v>18</v>
      </c>
      <c r="B502" s="17" t="s">
        <v>68</v>
      </c>
      <c r="C502" s="17" t="s">
        <v>272</v>
      </c>
      <c r="D502" s="17" t="s">
        <v>70</v>
      </c>
      <c r="E502" s="18">
        <v>55.7</v>
      </c>
      <c r="F502" s="19" t="s">
        <v>22</v>
      </c>
      <c r="G502" s="16" t="s">
        <v>23</v>
      </c>
    </row>
    <row r="503" ht="20" customHeight="1" spans="1:7" x14ac:dyDescent="0.25">
      <c r="A503" s="20" t="s">
        <v>24</v>
      </c>
      <c r="B503" s="21" t="s">
        <v>25</v>
      </c>
      <c r="C503" s="21" t="s">
        <v>26</v>
      </c>
      <c r="D503" s="21" t="s">
        <v>27</v>
      </c>
      <c r="E503" s="22" t="s">
        <v>23</v>
      </c>
      <c r="F503" s="20" t="s">
        <v>27</v>
      </c>
      <c r="G503" s="20" t="s">
        <v>27</v>
      </c>
    </row>
    <row r="504" ht="22" customHeight="1" spans="1:7" x14ac:dyDescent="0.25">
      <c r="A504" s="16" t="s">
        <v>28</v>
      </c>
      <c r="B504" s="17" t="s">
        <v>68</v>
      </c>
      <c r="C504" s="17" t="s">
        <v>273</v>
      </c>
      <c r="D504" s="17" t="s">
        <v>70</v>
      </c>
      <c r="E504" s="18">
        <v>52</v>
      </c>
      <c r="F504" s="19" t="s">
        <v>22</v>
      </c>
      <c r="G504" s="16" t="s">
        <v>23</v>
      </c>
    </row>
    <row r="505" ht="20" customHeight="1" spans="1:7" x14ac:dyDescent="0.25">
      <c r="A505" s="20" t="s">
        <v>30</v>
      </c>
      <c r="B505" s="21" t="s">
        <v>25</v>
      </c>
      <c r="C505" s="21" t="s">
        <v>26</v>
      </c>
      <c r="D505" s="21" t="s">
        <v>27</v>
      </c>
      <c r="E505" s="22" t="s">
        <v>23</v>
      </c>
      <c r="F505" s="20" t="s">
        <v>27</v>
      </c>
      <c r="G505" s="20" t="s">
        <v>27</v>
      </c>
    </row>
    <row r="506" ht="22" customHeight="1" spans="1:7" x14ac:dyDescent="0.25">
      <c r="A506" s="16" t="s">
        <v>31</v>
      </c>
      <c r="B506" s="17" t="s">
        <v>56</v>
      </c>
      <c r="C506" s="17" t="s">
        <v>274</v>
      </c>
      <c r="D506" s="17" t="s">
        <v>58</v>
      </c>
      <c r="E506" s="18">
        <v>56.7</v>
      </c>
      <c r="F506" s="19" t="s">
        <v>22</v>
      </c>
      <c r="G506" s="16" t="s">
        <v>23</v>
      </c>
    </row>
    <row r="507" ht="20" customHeight="1" spans="1:7" x14ac:dyDescent="0.25">
      <c r="A507" s="20" t="s">
        <v>35</v>
      </c>
      <c r="B507" s="21" t="s">
        <v>25</v>
      </c>
      <c r="C507" s="21" t="s">
        <v>26</v>
      </c>
      <c r="D507" s="21" t="s">
        <v>27</v>
      </c>
      <c r="E507" s="22" t="s">
        <v>23</v>
      </c>
      <c r="F507" s="20" t="s">
        <v>27</v>
      </c>
      <c r="G507" s="20" t="s">
        <v>27</v>
      </c>
    </row>
    <row r="508" ht="22" customHeight="1" spans="1:7" x14ac:dyDescent="0.25">
      <c r="A508" s="16" t="s">
        <v>36</v>
      </c>
      <c r="B508" s="17" t="s">
        <v>56</v>
      </c>
      <c r="C508" s="17" t="s">
        <v>275</v>
      </c>
      <c r="D508" s="17" t="s">
        <v>58</v>
      </c>
      <c r="E508" s="18">
        <v>41.7</v>
      </c>
      <c r="F508" s="19" t="s">
        <v>22</v>
      </c>
      <c r="G508" s="16" t="s">
        <v>23</v>
      </c>
    </row>
    <row r="509" ht="24" customHeight="1" spans="1:7" x14ac:dyDescent="0.25">
      <c r="A509" s="23" t="s">
        <v>38</v>
      </c>
      <c r="B509" s="23" t="s">
        <v>39</v>
      </c>
      <c r="C509" s="24" t="s">
        <v>40</v>
      </c>
      <c r="D509" s="24" t="s">
        <v>41</v>
      </c>
      <c r="E509" s="25">
        <f>SUM(E502,E504,E506,E508)</f>
        <v>206.1</v>
      </c>
      <c r="F509" s="23" t="str">
        <f>ROUND(E509/60, 1) &amp; " Saat"</f>
        <v>3.4 Saat</v>
      </c>
      <c r="G509" s="23" t="str">
        <f>COUNTIF(G502:G508, "X") &amp; "/4"</f>
        <v>0/4</v>
      </c>
    </row>
    <row r="510" ht="22" customHeight="1" spans="1:7" x14ac:dyDescent="0.25">
      <c r="A510" s="15" t="s">
        <v>74</v>
      </c>
      <c r="B510" s="15"/>
      <c r="C510" s="15"/>
      <c r="D510" s="15"/>
      <c r="E510" s="15"/>
      <c r="F510" s="15"/>
      <c r="G510" s="15"/>
    </row>
    <row r="511" ht="22" customHeight="1" spans="1:7" x14ac:dyDescent="0.25">
      <c r="A511" s="16" t="s">
        <v>18</v>
      </c>
      <c r="B511" s="17" t="s">
        <v>47</v>
      </c>
      <c r="C511" s="17" t="s">
        <v>276</v>
      </c>
      <c r="D511" s="17" t="s">
        <v>49</v>
      </c>
      <c r="E511" s="18">
        <v>42.8</v>
      </c>
      <c r="F511" s="19" t="s">
        <v>22</v>
      </c>
      <c r="G511" s="16" t="s">
        <v>23</v>
      </c>
    </row>
    <row r="512" ht="20" customHeight="1" spans="1:7" x14ac:dyDescent="0.25">
      <c r="A512" s="20" t="s">
        <v>24</v>
      </c>
      <c r="B512" s="21" t="s">
        <v>25</v>
      </c>
      <c r="C512" s="21" t="s">
        <v>26</v>
      </c>
      <c r="D512" s="21" t="s">
        <v>27</v>
      </c>
      <c r="E512" s="22" t="s">
        <v>23</v>
      </c>
      <c r="F512" s="20" t="s">
        <v>27</v>
      </c>
      <c r="G512" s="20" t="s">
        <v>27</v>
      </c>
    </row>
    <row r="513" ht="22" customHeight="1" spans="1:7" x14ac:dyDescent="0.25">
      <c r="A513" s="16" t="s">
        <v>28</v>
      </c>
      <c r="B513" s="17" t="s">
        <v>47</v>
      </c>
      <c r="C513" s="17" t="s">
        <v>277</v>
      </c>
      <c r="D513" s="17" t="s">
        <v>49</v>
      </c>
      <c r="E513" s="18">
        <v>29.6</v>
      </c>
      <c r="F513" s="19" t="s">
        <v>22</v>
      </c>
      <c r="G513" s="16" t="s">
        <v>23</v>
      </c>
    </row>
    <row r="514" ht="20" customHeight="1" spans="1:7" x14ac:dyDescent="0.25">
      <c r="A514" s="20" t="s">
        <v>30</v>
      </c>
      <c r="B514" s="21" t="s">
        <v>25</v>
      </c>
      <c r="C514" s="21" t="s">
        <v>26</v>
      </c>
      <c r="D514" s="21" t="s">
        <v>27</v>
      </c>
      <c r="E514" s="22" t="s">
        <v>23</v>
      </c>
      <c r="F514" s="20" t="s">
        <v>27</v>
      </c>
      <c r="G514" s="20" t="s">
        <v>27</v>
      </c>
    </row>
    <row r="515" ht="22" customHeight="1" spans="1:7" x14ac:dyDescent="0.25">
      <c r="A515" s="16" t="s">
        <v>31</v>
      </c>
      <c r="B515" s="17" t="s">
        <v>52</v>
      </c>
      <c r="C515" s="17" t="s">
        <v>278</v>
      </c>
      <c r="D515" s="17" t="s">
        <v>54</v>
      </c>
      <c r="E515" s="18">
        <v>22.8</v>
      </c>
      <c r="F515" s="19" t="s">
        <v>22</v>
      </c>
      <c r="G515" s="16" t="s">
        <v>23</v>
      </c>
    </row>
    <row r="516" ht="20" customHeight="1" spans="1:7" x14ac:dyDescent="0.25">
      <c r="A516" s="20" t="s">
        <v>35</v>
      </c>
      <c r="B516" s="21" t="s">
        <v>25</v>
      </c>
      <c r="C516" s="21" t="s">
        <v>26</v>
      </c>
      <c r="D516" s="21" t="s">
        <v>27</v>
      </c>
      <c r="E516" s="22" t="s">
        <v>23</v>
      </c>
      <c r="F516" s="20" t="s">
        <v>27</v>
      </c>
      <c r="G516" s="20" t="s">
        <v>27</v>
      </c>
    </row>
    <row r="517" ht="22" customHeight="1" spans="1:7" x14ac:dyDescent="0.25">
      <c r="A517" s="16" t="s">
        <v>36</v>
      </c>
      <c r="B517" s="17" t="s">
        <v>52</v>
      </c>
      <c r="C517" s="17" t="s">
        <v>279</v>
      </c>
      <c r="D517" s="17" t="s">
        <v>54</v>
      </c>
      <c r="E517" s="18">
        <v>21.4</v>
      </c>
      <c r="F517" s="19" t="s">
        <v>22</v>
      </c>
      <c r="G517" s="16" t="s">
        <v>23</v>
      </c>
    </row>
    <row r="518" ht="24" customHeight="1" spans="1:7" x14ac:dyDescent="0.25">
      <c r="A518" s="23" t="s">
        <v>38</v>
      </c>
      <c r="B518" s="23" t="s">
        <v>39</v>
      </c>
      <c r="C518" s="24" t="s">
        <v>40</v>
      </c>
      <c r="D518" s="24" t="s">
        <v>41</v>
      </c>
      <c r="E518" s="25">
        <f>SUM(E511,E513,E515,E517)</f>
        <v>116.6</v>
      </c>
      <c r="F518" s="23" t="str">
        <f>ROUND(E518/60, 1) &amp; " Saat"</f>
        <v>1.9 Saat</v>
      </c>
      <c r="G518" s="23" t="str">
        <f>COUNTIF(G511:G517, "X") &amp; "/4"</f>
        <v>0/4</v>
      </c>
    </row>
    <row r="519" ht="28" customHeight="1" spans="1:7" x14ac:dyDescent="0.25">
      <c r="A519" s="26" t="s">
        <v>79</v>
      </c>
      <c r="B519" s="26"/>
      <c r="C519" s="26"/>
      <c r="D519" s="26"/>
      <c r="E519" s="26"/>
      <c r="F519" s="26"/>
      <c r="G519" s="26"/>
    </row>
    <row r="520" ht="8" customHeight="1" x14ac:dyDescent="0.25"/>
    <row r="521" ht="25" customHeight="1" spans="1:7" x14ac:dyDescent="0.25">
      <c r="A521" s="14" t="s">
        <v>280</v>
      </c>
      <c r="B521" s="14"/>
      <c r="C521" s="14"/>
      <c r="D521" s="14"/>
      <c r="E521" s="14"/>
      <c r="F521" s="14"/>
      <c r="G521" s="14"/>
    </row>
    <row r="522" ht="22" customHeight="1" spans="1:7" x14ac:dyDescent="0.25">
      <c r="A522" s="15" t="s">
        <v>17</v>
      </c>
      <c r="B522" s="15"/>
      <c r="C522" s="15"/>
      <c r="D522" s="15"/>
      <c r="E522" s="15"/>
      <c r="F522" s="15"/>
      <c r="G522" s="15"/>
    </row>
    <row r="523" ht="22" customHeight="1" spans="1:7" x14ac:dyDescent="0.25">
      <c r="A523" s="16" t="s">
        <v>18</v>
      </c>
      <c r="B523" s="17" t="s">
        <v>19</v>
      </c>
      <c r="C523" s="17" t="s">
        <v>281</v>
      </c>
      <c r="D523" s="17" t="s">
        <v>21</v>
      </c>
      <c r="E523" s="18">
        <v>10.6</v>
      </c>
      <c r="F523" s="19" t="s">
        <v>22</v>
      </c>
      <c r="G523" s="16" t="s">
        <v>23</v>
      </c>
    </row>
    <row r="524" ht="20" customHeight="1" spans="1:7" x14ac:dyDescent="0.25">
      <c r="A524" s="20" t="s">
        <v>24</v>
      </c>
      <c r="B524" s="21" t="s">
        <v>25</v>
      </c>
      <c r="C524" s="21" t="s">
        <v>26</v>
      </c>
      <c r="D524" s="21" t="s">
        <v>27</v>
      </c>
      <c r="E524" s="22" t="s">
        <v>23</v>
      </c>
      <c r="F524" s="20" t="s">
        <v>27</v>
      </c>
      <c r="G524" s="20" t="s">
        <v>27</v>
      </c>
    </row>
    <row r="525" ht="22" customHeight="1" spans="1:7" x14ac:dyDescent="0.25">
      <c r="A525" s="16" t="s">
        <v>28</v>
      </c>
      <c r="B525" s="17" t="s">
        <v>19</v>
      </c>
      <c r="C525" s="17" t="s">
        <v>282</v>
      </c>
      <c r="D525" s="17" t="s">
        <v>21</v>
      </c>
      <c r="E525" s="18">
        <v>16.8</v>
      </c>
      <c r="F525" s="19" t="s">
        <v>22</v>
      </c>
      <c r="G525" s="16" t="s">
        <v>23</v>
      </c>
    </row>
    <row r="526" ht="20" customHeight="1" spans="1:7" x14ac:dyDescent="0.25">
      <c r="A526" s="20" t="s">
        <v>30</v>
      </c>
      <c r="B526" s="21" t="s">
        <v>25</v>
      </c>
      <c r="C526" s="21" t="s">
        <v>26</v>
      </c>
      <c r="D526" s="21" t="s">
        <v>27</v>
      </c>
      <c r="E526" s="22" t="s">
        <v>23</v>
      </c>
      <c r="F526" s="20" t="s">
        <v>27</v>
      </c>
      <c r="G526" s="20" t="s">
        <v>27</v>
      </c>
    </row>
    <row r="527" ht="22" customHeight="1" spans="1:7" x14ac:dyDescent="0.25">
      <c r="A527" s="16" t="s">
        <v>31</v>
      </c>
      <c r="B527" s="17" t="s">
        <v>32</v>
      </c>
      <c r="C527" s="17" t="s">
        <v>283</v>
      </c>
      <c r="D527" s="17" t="s">
        <v>34</v>
      </c>
      <c r="E527" s="18">
        <v>44.3</v>
      </c>
      <c r="F527" s="19" t="s">
        <v>22</v>
      </c>
      <c r="G527" s="16" t="s">
        <v>23</v>
      </c>
    </row>
    <row r="528" ht="20" customHeight="1" spans="1:7" x14ac:dyDescent="0.25">
      <c r="A528" s="20" t="s">
        <v>35</v>
      </c>
      <c r="B528" s="21" t="s">
        <v>25</v>
      </c>
      <c r="C528" s="21" t="s">
        <v>26</v>
      </c>
      <c r="D528" s="21" t="s">
        <v>27</v>
      </c>
      <c r="E528" s="22" t="s">
        <v>23</v>
      </c>
      <c r="F528" s="20" t="s">
        <v>27</v>
      </c>
      <c r="G528" s="20" t="s">
        <v>27</v>
      </c>
    </row>
    <row r="529" ht="22" customHeight="1" spans="1:7" x14ac:dyDescent="0.25">
      <c r="A529" s="16" t="s">
        <v>36</v>
      </c>
      <c r="B529" s="17" t="s">
        <v>32</v>
      </c>
      <c r="C529" s="17" t="s">
        <v>284</v>
      </c>
      <c r="D529" s="17" t="s">
        <v>34</v>
      </c>
      <c r="E529" s="18">
        <v>16.3</v>
      </c>
      <c r="F529" s="19" t="s">
        <v>22</v>
      </c>
      <c r="G529" s="16" t="s">
        <v>23</v>
      </c>
    </row>
    <row r="530" ht="24" customHeight="1" spans="1:7" x14ac:dyDescent="0.25">
      <c r="A530" s="23" t="s">
        <v>38</v>
      </c>
      <c r="B530" s="23" t="s">
        <v>39</v>
      </c>
      <c r="C530" s="24" t="s">
        <v>40</v>
      </c>
      <c r="D530" s="24" t="s">
        <v>41</v>
      </c>
      <c r="E530" s="25">
        <f>SUM(E523,E525,E527,E529)</f>
        <v>88</v>
      </c>
      <c r="F530" s="23" t="str">
        <f>ROUND(E530/60, 1) &amp; " Saat"</f>
        <v>1.5 Saat</v>
      </c>
      <c r="G530" s="23" t="str">
        <f>COUNTIF(G523:G529, "X") &amp; "/4"</f>
        <v>0/4</v>
      </c>
    </row>
    <row r="531" ht="22" customHeight="1" spans="1:7" x14ac:dyDescent="0.25">
      <c r="A531" s="15" t="s">
        <v>42</v>
      </c>
      <c r="B531" s="15"/>
      <c r="C531" s="15"/>
      <c r="D531" s="15"/>
      <c r="E531" s="15"/>
      <c r="F531" s="15"/>
      <c r="G531" s="15"/>
    </row>
    <row r="532" ht="22" customHeight="1" spans="1:7" x14ac:dyDescent="0.25">
      <c r="A532" s="16" t="s">
        <v>18</v>
      </c>
      <c r="B532" s="17" t="s">
        <v>43</v>
      </c>
      <c r="C532" s="17" t="s">
        <v>285</v>
      </c>
      <c r="D532" s="17" t="s">
        <v>45</v>
      </c>
      <c r="E532" s="18">
        <v>38.8</v>
      </c>
      <c r="F532" s="19" t="s">
        <v>22</v>
      </c>
      <c r="G532" s="16" t="s">
        <v>23</v>
      </c>
    </row>
    <row r="533" ht="20" customHeight="1" spans="1:7" x14ac:dyDescent="0.25">
      <c r="A533" s="20" t="s">
        <v>24</v>
      </c>
      <c r="B533" s="21" t="s">
        <v>25</v>
      </c>
      <c r="C533" s="21" t="s">
        <v>26</v>
      </c>
      <c r="D533" s="21" t="s">
        <v>27</v>
      </c>
      <c r="E533" s="22" t="s">
        <v>23</v>
      </c>
      <c r="F533" s="20" t="s">
        <v>27</v>
      </c>
      <c r="G533" s="20" t="s">
        <v>27</v>
      </c>
    </row>
    <row r="534" ht="22" customHeight="1" spans="1:7" x14ac:dyDescent="0.25">
      <c r="A534" s="16" t="s">
        <v>28</v>
      </c>
      <c r="B534" s="17" t="s">
        <v>43</v>
      </c>
      <c r="C534" s="17" t="s">
        <v>286</v>
      </c>
      <c r="D534" s="17" t="s">
        <v>45</v>
      </c>
      <c r="E534" s="18">
        <v>38.1</v>
      </c>
      <c r="F534" s="19" t="s">
        <v>22</v>
      </c>
      <c r="G534" s="16" t="s">
        <v>23</v>
      </c>
    </row>
    <row r="535" ht="20" customHeight="1" spans="1:7" x14ac:dyDescent="0.25">
      <c r="A535" s="20" t="s">
        <v>30</v>
      </c>
      <c r="B535" s="21" t="s">
        <v>25</v>
      </c>
      <c r="C535" s="21" t="s">
        <v>26</v>
      </c>
      <c r="D535" s="21" t="s">
        <v>27</v>
      </c>
      <c r="E535" s="22" t="s">
        <v>23</v>
      </c>
      <c r="F535" s="20" t="s">
        <v>27</v>
      </c>
      <c r="G535" s="20" t="s">
        <v>27</v>
      </c>
    </row>
    <row r="536" ht="22" customHeight="1" spans="1:7" x14ac:dyDescent="0.25">
      <c r="A536" s="16" t="s">
        <v>31</v>
      </c>
      <c r="B536" s="17" t="s">
        <v>47</v>
      </c>
      <c r="C536" s="17" t="s">
        <v>287</v>
      </c>
      <c r="D536" s="17" t="s">
        <v>49</v>
      </c>
      <c r="E536" s="18">
        <v>35.5</v>
      </c>
      <c r="F536" s="19" t="s">
        <v>22</v>
      </c>
      <c r="G536" s="16" t="s">
        <v>23</v>
      </c>
    </row>
    <row r="537" ht="20" customHeight="1" spans="1:7" x14ac:dyDescent="0.25">
      <c r="A537" s="20" t="s">
        <v>35</v>
      </c>
      <c r="B537" s="21" t="s">
        <v>25</v>
      </c>
      <c r="C537" s="21" t="s">
        <v>26</v>
      </c>
      <c r="D537" s="21" t="s">
        <v>27</v>
      </c>
      <c r="E537" s="22" t="s">
        <v>23</v>
      </c>
      <c r="F537" s="20" t="s">
        <v>27</v>
      </c>
      <c r="G537" s="20" t="s">
        <v>27</v>
      </c>
    </row>
    <row r="538" ht="22" customHeight="1" spans="1:7" x14ac:dyDescent="0.25">
      <c r="A538" s="16" t="s">
        <v>36</v>
      </c>
      <c r="B538" s="17" t="s">
        <v>47</v>
      </c>
      <c r="C538" s="17" t="s">
        <v>288</v>
      </c>
      <c r="D538" s="17" t="s">
        <v>49</v>
      </c>
      <c r="E538" s="18">
        <v>17.3</v>
      </c>
      <c r="F538" s="19" t="s">
        <v>22</v>
      </c>
      <c r="G538" s="16" t="s">
        <v>23</v>
      </c>
    </row>
    <row r="539" ht="24" customHeight="1" spans="1:7" x14ac:dyDescent="0.25">
      <c r="A539" s="23" t="s">
        <v>38</v>
      </c>
      <c r="B539" s="23" t="s">
        <v>39</v>
      </c>
      <c r="C539" s="24" t="s">
        <v>40</v>
      </c>
      <c r="D539" s="24" t="s">
        <v>41</v>
      </c>
      <c r="E539" s="25">
        <f>SUM(E532,E534,E536,E538)</f>
        <v>129.7</v>
      </c>
      <c r="F539" s="23" t="str">
        <f>ROUND(E539/60, 1) &amp; " Saat"</f>
        <v>2.2 Saat</v>
      </c>
      <c r="G539" s="23" t="str">
        <f>COUNTIF(G532:G538, "X") &amp; "/4"</f>
        <v>0/4</v>
      </c>
    </row>
    <row r="540" ht="22" customHeight="1" spans="1:7" x14ac:dyDescent="0.25">
      <c r="A540" s="15" t="s">
        <v>51</v>
      </c>
      <c r="B540" s="15"/>
      <c r="C540" s="15"/>
      <c r="D540" s="15"/>
      <c r="E540" s="15"/>
      <c r="F540" s="15"/>
      <c r="G540" s="15"/>
    </row>
    <row r="541" ht="22" customHeight="1" spans="1:7" x14ac:dyDescent="0.25">
      <c r="A541" s="16" t="s">
        <v>18</v>
      </c>
      <c r="B541" s="17" t="s">
        <v>52</v>
      </c>
      <c r="C541" s="17" t="s">
        <v>289</v>
      </c>
      <c r="D541" s="17" t="s">
        <v>54</v>
      </c>
      <c r="E541" s="18">
        <v>15.8</v>
      </c>
      <c r="F541" s="19" t="s">
        <v>22</v>
      </c>
      <c r="G541" s="16" t="s">
        <v>23</v>
      </c>
    </row>
    <row r="542" ht="20" customHeight="1" spans="1:7" x14ac:dyDescent="0.25">
      <c r="A542" s="20" t="s">
        <v>24</v>
      </c>
      <c r="B542" s="21" t="s">
        <v>25</v>
      </c>
      <c r="C542" s="21" t="s">
        <v>26</v>
      </c>
      <c r="D542" s="21" t="s">
        <v>27</v>
      </c>
      <c r="E542" s="22" t="s">
        <v>23</v>
      </c>
      <c r="F542" s="20" t="s">
        <v>27</v>
      </c>
      <c r="G542" s="20" t="s">
        <v>27</v>
      </c>
    </row>
    <row r="543" ht="22" customHeight="1" spans="1:7" x14ac:dyDescent="0.25">
      <c r="A543" s="16" t="s">
        <v>28</v>
      </c>
      <c r="B543" s="17" t="s">
        <v>52</v>
      </c>
      <c r="C543" s="17" t="s">
        <v>290</v>
      </c>
      <c r="D543" s="17" t="s">
        <v>54</v>
      </c>
      <c r="E543" s="18">
        <v>30.7</v>
      </c>
      <c r="F543" s="19" t="s">
        <v>22</v>
      </c>
      <c r="G543" s="16" t="s">
        <v>23</v>
      </c>
    </row>
    <row r="544" ht="20" customHeight="1" spans="1:7" x14ac:dyDescent="0.25">
      <c r="A544" s="20" t="s">
        <v>30</v>
      </c>
      <c r="B544" s="21" t="s">
        <v>25</v>
      </c>
      <c r="C544" s="21" t="s">
        <v>26</v>
      </c>
      <c r="D544" s="21" t="s">
        <v>27</v>
      </c>
      <c r="E544" s="22" t="s">
        <v>23</v>
      </c>
      <c r="F544" s="20" t="s">
        <v>27</v>
      </c>
      <c r="G544" s="20" t="s">
        <v>27</v>
      </c>
    </row>
    <row r="545" ht="22" customHeight="1" spans="1:7" x14ac:dyDescent="0.25">
      <c r="A545" s="16" t="s">
        <v>31</v>
      </c>
      <c r="B545" s="17" t="s">
        <v>56</v>
      </c>
      <c r="C545" s="17" t="s">
        <v>291</v>
      </c>
      <c r="D545" s="17" t="s">
        <v>58</v>
      </c>
      <c r="E545" s="18">
        <v>19.9</v>
      </c>
      <c r="F545" s="19" t="s">
        <v>22</v>
      </c>
      <c r="G545" s="16" t="s">
        <v>23</v>
      </c>
    </row>
    <row r="546" ht="20" customHeight="1" spans="1:7" x14ac:dyDescent="0.25">
      <c r="A546" s="20" t="s">
        <v>35</v>
      </c>
      <c r="B546" s="21" t="s">
        <v>25</v>
      </c>
      <c r="C546" s="21" t="s">
        <v>26</v>
      </c>
      <c r="D546" s="21" t="s">
        <v>27</v>
      </c>
      <c r="E546" s="22" t="s">
        <v>23</v>
      </c>
      <c r="F546" s="20" t="s">
        <v>27</v>
      </c>
      <c r="G546" s="20" t="s">
        <v>27</v>
      </c>
    </row>
    <row r="547" ht="22" customHeight="1" spans="1:7" x14ac:dyDescent="0.25">
      <c r="A547" s="16" t="s">
        <v>36</v>
      </c>
      <c r="B547" s="17" t="s">
        <v>56</v>
      </c>
      <c r="C547" s="17" t="s">
        <v>292</v>
      </c>
      <c r="D547" s="17" t="s">
        <v>58</v>
      </c>
      <c r="E547" s="18">
        <v>29.6</v>
      </c>
      <c r="F547" s="19" t="s">
        <v>22</v>
      </c>
      <c r="G547" s="16" t="s">
        <v>23</v>
      </c>
    </row>
    <row r="548" ht="24" customHeight="1" spans="1:7" x14ac:dyDescent="0.25">
      <c r="A548" s="23" t="s">
        <v>38</v>
      </c>
      <c r="B548" s="23" t="s">
        <v>39</v>
      </c>
      <c r="C548" s="24" t="s">
        <v>40</v>
      </c>
      <c r="D548" s="24" t="s">
        <v>41</v>
      </c>
      <c r="E548" s="25">
        <f>SUM(E541,E543,E545,E547)</f>
        <v>96</v>
      </c>
      <c r="F548" s="23" t="str">
        <f>ROUND(E548/60, 1) &amp; " Saat"</f>
        <v>1.6 Saat</v>
      </c>
      <c r="G548" s="23" t="str">
        <f>COUNTIF(G541:G547, "X") &amp; "/4"</f>
        <v>0/4</v>
      </c>
    </row>
    <row r="549" ht="22" customHeight="1" spans="1:7" x14ac:dyDescent="0.25">
      <c r="A549" s="15" t="s">
        <v>60</v>
      </c>
      <c r="B549" s="15"/>
      <c r="C549" s="15"/>
      <c r="D549" s="15"/>
      <c r="E549" s="15"/>
      <c r="F549" s="15"/>
      <c r="G549" s="15"/>
    </row>
    <row r="550" ht="22" customHeight="1" spans="1:7" x14ac:dyDescent="0.25">
      <c r="A550" s="16" t="s">
        <v>18</v>
      </c>
      <c r="B550" s="17" t="s">
        <v>43</v>
      </c>
      <c r="C550" s="17" t="s">
        <v>293</v>
      </c>
      <c r="D550" s="17" t="s">
        <v>45</v>
      </c>
      <c r="E550" s="18">
        <v>54.3</v>
      </c>
      <c r="F550" s="19" t="s">
        <v>22</v>
      </c>
      <c r="G550" s="16" t="s">
        <v>23</v>
      </c>
    </row>
    <row r="551" ht="20" customHeight="1" spans="1:7" x14ac:dyDescent="0.25">
      <c r="A551" s="20" t="s">
        <v>24</v>
      </c>
      <c r="B551" s="21" t="s">
        <v>25</v>
      </c>
      <c r="C551" s="21" t="s">
        <v>26</v>
      </c>
      <c r="D551" s="21" t="s">
        <v>27</v>
      </c>
      <c r="E551" s="22" t="s">
        <v>23</v>
      </c>
      <c r="F551" s="20" t="s">
        <v>27</v>
      </c>
      <c r="G551" s="20" t="s">
        <v>27</v>
      </c>
    </row>
    <row r="552" ht="22" customHeight="1" spans="1:7" x14ac:dyDescent="0.25">
      <c r="A552" s="16" t="s">
        <v>28</v>
      </c>
      <c r="B552" s="17" t="s">
        <v>43</v>
      </c>
      <c r="C552" s="17" t="s">
        <v>294</v>
      </c>
      <c r="D552" s="17" t="s">
        <v>45</v>
      </c>
      <c r="E552" s="18">
        <v>54.3</v>
      </c>
      <c r="F552" s="19" t="s">
        <v>22</v>
      </c>
      <c r="G552" s="16" t="s">
        <v>23</v>
      </c>
    </row>
    <row r="553" ht="20" customHeight="1" spans="1:7" x14ac:dyDescent="0.25">
      <c r="A553" s="20" t="s">
        <v>30</v>
      </c>
      <c r="B553" s="21" t="s">
        <v>25</v>
      </c>
      <c r="C553" s="21" t="s">
        <v>26</v>
      </c>
      <c r="D553" s="21" t="s">
        <v>27</v>
      </c>
      <c r="E553" s="22" t="s">
        <v>23</v>
      </c>
      <c r="F553" s="20" t="s">
        <v>27</v>
      </c>
      <c r="G553" s="20" t="s">
        <v>27</v>
      </c>
    </row>
    <row r="554" ht="22" customHeight="1" spans="1:7" x14ac:dyDescent="0.25">
      <c r="A554" s="16" t="s">
        <v>31</v>
      </c>
      <c r="B554" s="17" t="s">
        <v>63</v>
      </c>
      <c r="C554" s="17" t="s">
        <v>295</v>
      </c>
      <c r="D554" s="17" t="s">
        <v>65</v>
      </c>
      <c r="E554" s="18">
        <v>19.2</v>
      </c>
      <c r="F554" s="19" t="s">
        <v>22</v>
      </c>
      <c r="G554" s="16" t="s">
        <v>23</v>
      </c>
    </row>
    <row r="555" ht="20" customHeight="1" spans="1:7" x14ac:dyDescent="0.25">
      <c r="A555" s="20" t="s">
        <v>35</v>
      </c>
      <c r="B555" s="21" t="s">
        <v>25</v>
      </c>
      <c r="C555" s="21" t="s">
        <v>26</v>
      </c>
      <c r="D555" s="21" t="s">
        <v>27</v>
      </c>
      <c r="E555" s="22" t="s">
        <v>23</v>
      </c>
      <c r="F555" s="20" t="s">
        <v>27</v>
      </c>
      <c r="G555" s="20" t="s">
        <v>27</v>
      </c>
    </row>
    <row r="556" ht="22" customHeight="1" spans="1:7" x14ac:dyDescent="0.25">
      <c r="A556" s="16" t="s">
        <v>36</v>
      </c>
      <c r="B556" s="17" t="s">
        <v>63</v>
      </c>
      <c r="C556" s="17" t="s">
        <v>296</v>
      </c>
      <c r="D556" s="17" t="s">
        <v>65</v>
      </c>
      <c r="E556" s="18">
        <v>8.5</v>
      </c>
      <c r="F556" s="19" t="s">
        <v>22</v>
      </c>
      <c r="G556" s="16" t="s">
        <v>23</v>
      </c>
    </row>
    <row r="557" ht="24" customHeight="1" spans="1:7" x14ac:dyDescent="0.25">
      <c r="A557" s="23" t="s">
        <v>38</v>
      </c>
      <c r="B557" s="23" t="s">
        <v>39</v>
      </c>
      <c r="C557" s="24" t="s">
        <v>40</v>
      </c>
      <c r="D557" s="24" t="s">
        <v>41</v>
      </c>
      <c r="E557" s="25">
        <f>SUM(E550,E552,E554,E556)</f>
        <v>136.3</v>
      </c>
      <c r="F557" s="23" t="str">
        <f>ROUND(E557/60, 1) &amp; " Saat"</f>
        <v>2.3 Saat</v>
      </c>
      <c r="G557" s="23" t="str">
        <f>COUNTIF(G550:G556, "X") &amp; "/4"</f>
        <v>0/4</v>
      </c>
    </row>
    <row r="558" ht="22" customHeight="1" spans="1:7" x14ac:dyDescent="0.25">
      <c r="A558" s="15" t="s">
        <v>67</v>
      </c>
      <c r="B558" s="15"/>
      <c r="C558" s="15"/>
      <c r="D558" s="15"/>
      <c r="E558" s="15"/>
      <c r="F558" s="15"/>
      <c r="G558" s="15"/>
    </row>
    <row r="559" ht="22" customHeight="1" spans="1:7" x14ac:dyDescent="0.25">
      <c r="A559" s="16" t="s">
        <v>18</v>
      </c>
      <c r="B559" s="17" t="s">
        <v>68</v>
      </c>
      <c r="C559" s="17" t="s">
        <v>297</v>
      </c>
      <c r="D559" s="17" t="s">
        <v>70</v>
      </c>
      <c r="E559" s="18">
        <v>21.9</v>
      </c>
      <c r="F559" s="19" t="s">
        <v>22</v>
      </c>
      <c r="G559" s="16" t="s">
        <v>23</v>
      </c>
    </row>
    <row r="560" ht="20" customHeight="1" spans="1:7" x14ac:dyDescent="0.25">
      <c r="A560" s="20" t="s">
        <v>24</v>
      </c>
      <c r="B560" s="21" t="s">
        <v>25</v>
      </c>
      <c r="C560" s="21" t="s">
        <v>26</v>
      </c>
      <c r="D560" s="21" t="s">
        <v>27</v>
      </c>
      <c r="E560" s="22" t="s">
        <v>23</v>
      </c>
      <c r="F560" s="20" t="s">
        <v>27</v>
      </c>
      <c r="G560" s="20" t="s">
        <v>27</v>
      </c>
    </row>
    <row r="561" ht="22" customHeight="1" spans="1:7" x14ac:dyDescent="0.25">
      <c r="A561" s="16" t="s">
        <v>28</v>
      </c>
      <c r="B561" s="17" t="s">
        <v>68</v>
      </c>
      <c r="C561" s="17" t="s">
        <v>298</v>
      </c>
      <c r="D561" s="17" t="s">
        <v>70</v>
      </c>
      <c r="E561" s="18">
        <v>46</v>
      </c>
      <c r="F561" s="19" t="s">
        <v>22</v>
      </c>
      <c r="G561" s="16" t="s">
        <v>23</v>
      </c>
    </row>
    <row r="562" ht="20" customHeight="1" spans="1:7" x14ac:dyDescent="0.25">
      <c r="A562" s="20" t="s">
        <v>30</v>
      </c>
      <c r="B562" s="21" t="s">
        <v>25</v>
      </c>
      <c r="C562" s="21" t="s">
        <v>26</v>
      </c>
      <c r="D562" s="21" t="s">
        <v>27</v>
      </c>
      <c r="E562" s="22" t="s">
        <v>23</v>
      </c>
      <c r="F562" s="20" t="s">
        <v>27</v>
      </c>
      <c r="G562" s="20" t="s">
        <v>27</v>
      </c>
    </row>
    <row r="563" ht="22" customHeight="1" spans="1:7" x14ac:dyDescent="0.25">
      <c r="A563" s="16" t="s">
        <v>31</v>
      </c>
      <c r="B563" s="17" t="s">
        <v>56</v>
      </c>
      <c r="C563" s="17" t="s">
        <v>299</v>
      </c>
      <c r="D563" s="17" t="s">
        <v>58</v>
      </c>
      <c r="E563" s="18">
        <v>96</v>
      </c>
      <c r="F563" s="19" t="s">
        <v>22</v>
      </c>
      <c r="G563" s="16" t="s">
        <v>23</v>
      </c>
    </row>
    <row r="564" ht="20" customHeight="1" spans="1:7" x14ac:dyDescent="0.25">
      <c r="A564" s="20" t="s">
        <v>35</v>
      </c>
      <c r="B564" s="21" t="s">
        <v>25</v>
      </c>
      <c r="C564" s="21" t="s">
        <v>26</v>
      </c>
      <c r="D564" s="21" t="s">
        <v>27</v>
      </c>
      <c r="E564" s="22" t="s">
        <v>23</v>
      </c>
      <c r="F564" s="20" t="s">
        <v>27</v>
      </c>
      <c r="G564" s="20" t="s">
        <v>27</v>
      </c>
    </row>
    <row r="565" ht="22" customHeight="1" spans="1:7" x14ac:dyDescent="0.25">
      <c r="A565" s="16" t="s">
        <v>36</v>
      </c>
      <c r="B565" s="17" t="s">
        <v>56</v>
      </c>
      <c r="C565" s="17" t="s">
        <v>300</v>
      </c>
      <c r="D565" s="17" t="s">
        <v>58</v>
      </c>
      <c r="E565" s="18">
        <v>44.9</v>
      </c>
      <c r="F565" s="19" t="s">
        <v>22</v>
      </c>
      <c r="G565" s="16" t="s">
        <v>23</v>
      </c>
    </row>
    <row r="566" ht="24" customHeight="1" spans="1:7" x14ac:dyDescent="0.25">
      <c r="A566" s="23" t="s">
        <v>38</v>
      </c>
      <c r="B566" s="23" t="s">
        <v>39</v>
      </c>
      <c r="C566" s="24" t="s">
        <v>40</v>
      </c>
      <c r="D566" s="24" t="s">
        <v>41</v>
      </c>
      <c r="E566" s="25">
        <f>SUM(E559,E561,E563,E565)</f>
        <v>208.8</v>
      </c>
      <c r="F566" s="23" t="str">
        <f>ROUND(E566/60, 1) &amp; " Saat"</f>
        <v>3.5 Saat</v>
      </c>
      <c r="G566" s="23" t="str">
        <f>COUNTIF(G559:G565, "X") &amp; "/4"</f>
        <v>0/4</v>
      </c>
    </row>
    <row r="567" ht="22" customHeight="1" spans="1:7" x14ac:dyDescent="0.25">
      <c r="A567" s="15" t="s">
        <v>74</v>
      </c>
      <c r="B567" s="15"/>
      <c r="C567" s="15"/>
      <c r="D567" s="15"/>
      <c r="E567" s="15"/>
      <c r="F567" s="15"/>
      <c r="G567" s="15"/>
    </row>
    <row r="568" ht="22" customHeight="1" spans="1:7" x14ac:dyDescent="0.25">
      <c r="A568" s="16" t="s">
        <v>18</v>
      </c>
      <c r="B568" s="17" t="s">
        <v>47</v>
      </c>
      <c r="C568" s="17" t="s">
        <v>301</v>
      </c>
      <c r="D568" s="17" t="s">
        <v>49</v>
      </c>
      <c r="E568" s="18">
        <v>22.9</v>
      </c>
      <c r="F568" s="19" t="s">
        <v>22</v>
      </c>
      <c r="G568" s="16" t="s">
        <v>23</v>
      </c>
    </row>
    <row r="569" ht="20" customHeight="1" spans="1:7" x14ac:dyDescent="0.25">
      <c r="A569" s="20" t="s">
        <v>24</v>
      </c>
      <c r="B569" s="21" t="s">
        <v>25</v>
      </c>
      <c r="C569" s="21" t="s">
        <v>26</v>
      </c>
      <c r="D569" s="21" t="s">
        <v>27</v>
      </c>
      <c r="E569" s="22" t="s">
        <v>23</v>
      </c>
      <c r="F569" s="20" t="s">
        <v>27</v>
      </c>
      <c r="G569" s="20" t="s">
        <v>27</v>
      </c>
    </row>
    <row r="570" ht="22" customHeight="1" spans="1:7" x14ac:dyDescent="0.25">
      <c r="A570" s="16" t="s">
        <v>28</v>
      </c>
      <c r="B570" s="17" t="s">
        <v>47</v>
      </c>
      <c r="C570" s="17" t="s">
        <v>302</v>
      </c>
      <c r="D570" s="17" t="s">
        <v>49</v>
      </c>
      <c r="E570" s="18">
        <v>49.2</v>
      </c>
      <c r="F570" s="19" t="s">
        <v>22</v>
      </c>
      <c r="G570" s="16" t="s">
        <v>23</v>
      </c>
    </row>
    <row r="571" ht="20" customHeight="1" spans="1:7" x14ac:dyDescent="0.25">
      <c r="A571" s="20" t="s">
        <v>30</v>
      </c>
      <c r="B571" s="21" t="s">
        <v>25</v>
      </c>
      <c r="C571" s="21" t="s">
        <v>26</v>
      </c>
      <c r="D571" s="21" t="s">
        <v>27</v>
      </c>
      <c r="E571" s="22" t="s">
        <v>23</v>
      </c>
      <c r="F571" s="20" t="s">
        <v>27</v>
      </c>
      <c r="G571" s="20" t="s">
        <v>27</v>
      </c>
    </row>
    <row r="572" ht="22" customHeight="1" spans="1:7" x14ac:dyDescent="0.25">
      <c r="A572" s="16" t="s">
        <v>31</v>
      </c>
      <c r="B572" s="17" t="s">
        <v>52</v>
      </c>
      <c r="C572" s="17" t="s">
        <v>303</v>
      </c>
      <c r="D572" s="17" t="s">
        <v>54</v>
      </c>
      <c r="E572" s="18">
        <v>21.4</v>
      </c>
      <c r="F572" s="19" t="s">
        <v>22</v>
      </c>
      <c r="G572" s="16" t="s">
        <v>23</v>
      </c>
    </row>
    <row r="573" ht="20" customHeight="1" spans="1:7" x14ac:dyDescent="0.25">
      <c r="A573" s="20" t="s">
        <v>35</v>
      </c>
      <c r="B573" s="21" t="s">
        <v>25</v>
      </c>
      <c r="C573" s="21" t="s">
        <v>26</v>
      </c>
      <c r="D573" s="21" t="s">
        <v>27</v>
      </c>
      <c r="E573" s="22" t="s">
        <v>23</v>
      </c>
      <c r="F573" s="20" t="s">
        <v>27</v>
      </c>
      <c r="G573" s="20" t="s">
        <v>27</v>
      </c>
    </row>
    <row r="574" ht="22" customHeight="1" spans="1:7" x14ac:dyDescent="0.25">
      <c r="A574" s="16" t="s">
        <v>36</v>
      </c>
      <c r="B574" s="17" t="s">
        <v>52</v>
      </c>
      <c r="C574" s="17" t="s">
        <v>304</v>
      </c>
      <c r="D574" s="17" t="s">
        <v>54</v>
      </c>
      <c r="E574" s="18">
        <v>27.3</v>
      </c>
      <c r="F574" s="19" t="s">
        <v>22</v>
      </c>
      <c r="G574" s="16" t="s">
        <v>23</v>
      </c>
    </row>
    <row r="575" ht="24" customHeight="1" spans="1:7" x14ac:dyDescent="0.25">
      <c r="A575" s="23" t="s">
        <v>38</v>
      </c>
      <c r="B575" s="23" t="s">
        <v>39</v>
      </c>
      <c r="C575" s="24" t="s">
        <v>40</v>
      </c>
      <c r="D575" s="24" t="s">
        <v>41</v>
      </c>
      <c r="E575" s="25">
        <f>SUM(E568,E570,E572,E574)</f>
        <v>120.8</v>
      </c>
      <c r="F575" s="23" t="str">
        <f>ROUND(E575/60, 1) &amp; " Saat"</f>
        <v>2.0 Saat</v>
      </c>
      <c r="G575" s="23" t="str">
        <f>COUNTIF(G568:G574, "X") &amp; "/4"</f>
        <v>0/4</v>
      </c>
    </row>
    <row r="576" ht="28" customHeight="1" spans="1:7" x14ac:dyDescent="0.25">
      <c r="A576" s="26" t="s">
        <v>79</v>
      </c>
      <c r="B576" s="26"/>
      <c r="C576" s="26"/>
      <c r="D576" s="26"/>
      <c r="E576" s="26"/>
      <c r="F576" s="26"/>
      <c r="G576" s="26"/>
    </row>
    <row r="577" ht="8" customHeight="1" x14ac:dyDescent="0.25"/>
    <row r="578" ht="25" customHeight="1" spans="1:7" x14ac:dyDescent="0.25">
      <c r="A578" s="14" t="s">
        <v>305</v>
      </c>
      <c r="B578" s="14"/>
      <c r="C578" s="14"/>
      <c r="D578" s="14"/>
      <c r="E578" s="14"/>
      <c r="F578" s="14"/>
      <c r="G578" s="14"/>
    </row>
    <row r="579" ht="22" customHeight="1" spans="1:7" x14ac:dyDescent="0.25">
      <c r="A579" s="15" t="s">
        <v>17</v>
      </c>
      <c r="B579" s="15"/>
      <c r="C579" s="15"/>
      <c r="D579" s="15"/>
      <c r="E579" s="15"/>
      <c r="F579" s="15"/>
      <c r="G579" s="15"/>
    </row>
    <row r="580" ht="22" customHeight="1" spans="1:7" x14ac:dyDescent="0.25">
      <c r="A580" s="16" t="s">
        <v>18</v>
      </c>
      <c r="B580" s="17" t="s">
        <v>19</v>
      </c>
      <c r="C580" s="17" t="s">
        <v>306</v>
      </c>
      <c r="D580" s="17" t="s">
        <v>21</v>
      </c>
      <c r="E580" s="18">
        <v>17.3</v>
      </c>
      <c r="F580" s="19" t="s">
        <v>22</v>
      </c>
      <c r="G580" s="16" t="s">
        <v>23</v>
      </c>
    </row>
    <row r="581" ht="20" customHeight="1" spans="1:7" x14ac:dyDescent="0.25">
      <c r="A581" s="20" t="s">
        <v>24</v>
      </c>
      <c r="B581" s="21" t="s">
        <v>25</v>
      </c>
      <c r="C581" s="21" t="s">
        <v>26</v>
      </c>
      <c r="D581" s="21" t="s">
        <v>27</v>
      </c>
      <c r="E581" s="22" t="s">
        <v>23</v>
      </c>
      <c r="F581" s="20" t="s">
        <v>27</v>
      </c>
      <c r="G581" s="20" t="s">
        <v>27</v>
      </c>
    </row>
    <row r="582" ht="22" customHeight="1" spans="1:7" x14ac:dyDescent="0.25">
      <c r="A582" s="16" t="s">
        <v>28</v>
      </c>
      <c r="B582" s="17" t="s">
        <v>19</v>
      </c>
      <c r="C582" s="17" t="s">
        <v>307</v>
      </c>
      <c r="D582" s="17" t="s">
        <v>21</v>
      </c>
      <c r="E582" s="18">
        <v>5.9</v>
      </c>
      <c r="F582" s="19" t="s">
        <v>22</v>
      </c>
      <c r="G582" s="16" t="s">
        <v>23</v>
      </c>
    </row>
    <row r="583" ht="20" customHeight="1" spans="1:7" x14ac:dyDescent="0.25">
      <c r="A583" s="20" t="s">
        <v>30</v>
      </c>
      <c r="B583" s="21" t="s">
        <v>25</v>
      </c>
      <c r="C583" s="21" t="s">
        <v>26</v>
      </c>
      <c r="D583" s="21" t="s">
        <v>27</v>
      </c>
      <c r="E583" s="22" t="s">
        <v>23</v>
      </c>
      <c r="F583" s="20" t="s">
        <v>27</v>
      </c>
      <c r="G583" s="20" t="s">
        <v>27</v>
      </c>
    </row>
    <row r="584" ht="22" customHeight="1" spans="1:7" x14ac:dyDescent="0.25">
      <c r="A584" s="16" t="s">
        <v>31</v>
      </c>
      <c r="B584" s="17" t="s">
        <v>32</v>
      </c>
      <c r="C584" s="17" t="s">
        <v>308</v>
      </c>
      <c r="D584" s="17" t="s">
        <v>34</v>
      </c>
      <c r="E584" s="18">
        <v>38.5</v>
      </c>
      <c r="F584" s="19" t="s">
        <v>22</v>
      </c>
      <c r="G584" s="16" t="s">
        <v>23</v>
      </c>
    </row>
    <row r="585" ht="20" customHeight="1" spans="1:7" x14ac:dyDescent="0.25">
      <c r="A585" s="20" t="s">
        <v>35</v>
      </c>
      <c r="B585" s="21" t="s">
        <v>25</v>
      </c>
      <c r="C585" s="21" t="s">
        <v>26</v>
      </c>
      <c r="D585" s="21" t="s">
        <v>27</v>
      </c>
      <c r="E585" s="22" t="s">
        <v>23</v>
      </c>
      <c r="F585" s="20" t="s">
        <v>27</v>
      </c>
      <c r="G585" s="20" t="s">
        <v>27</v>
      </c>
    </row>
    <row r="586" ht="22" customHeight="1" spans="1:7" x14ac:dyDescent="0.25">
      <c r="A586" s="16" t="s">
        <v>36</v>
      </c>
      <c r="B586" s="17" t="s">
        <v>32</v>
      </c>
      <c r="C586" s="17" t="s">
        <v>309</v>
      </c>
      <c r="D586" s="17" t="s">
        <v>34</v>
      </c>
      <c r="E586" s="18">
        <v>17.7</v>
      </c>
      <c r="F586" s="19" t="s">
        <v>22</v>
      </c>
      <c r="G586" s="16" t="s">
        <v>23</v>
      </c>
    </row>
    <row r="587" ht="24" customHeight="1" spans="1:7" x14ac:dyDescent="0.25">
      <c r="A587" s="23" t="s">
        <v>38</v>
      </c>
      <c r="B587" s="23" t="s">
        <v>39</v>
      </c>
      <c r="C587" s="24" t="s">
        <v>40</v>
      </c>
      <c r="D587" s="24" t="s">
        <v>41</v>
      </c>
      <c r="E587" s="25">
        <f>SUM(E580,E582,E584,E586)</f>
        <v>79.4</v>
      </c>
      <c r="F587" s="23" t="str">
        <f>ROUND(E587/60, 1) &amp; " Saat"</f>
        <v>1.3 Saat</v>
      </c>
      <c r="G587" s="23" t="str">
        <f>COUNTIF(G580:G586, "X") &amp; "/4"</f>
        <v>0/4</v>
      </c>
    </row>
    <row r="588" ht="22" customHeight="1" spans="1:7" x14ac:dyDescent="0.25">
      <c r="A588" s="15" t="s">
        <v>42</v>
      </c>
      <c r="B588" s="15"/>
      <c r="C588" s="15"/>
      <c r="D588" s="15"/>
      <c r="E588" s="15"/>
      <c r="F588" s="15"/>
      <c r="G588" s="15"/>
    </row>
    <row r="589" ht="22" customHeight="1" spans="1:7" x14ac:dyDescent="0.25">
      <c r="A589" s="16" t="s">
        <v>18</v>
      </c>
      <c r="B589" s="17" t="s">
        <v>43</v>
      </c>
      <c r="C589" s="17" t="s">
        <v>310</v>
      </c>
      <c r="D589" s="17" t="s">
        <v>45</v>
      </c>
      <c r="E589" s="18">
        <v>60.4</v>
      </c>
      <c r="F589" s="19" t="s">
        <v>22</v>
      </c>
      <c r="G589" s="16" t="s">
        <v>23</v>
      </c>
    </row>
    <row r="590" ht="20" customHeight="1" spans="1:7" x14ac:dyDescent="0.25">
      <c r="A590" s="20" t="s">
        <v>24</v>
      </c>
      <c r="B590" s="21" t="s">
        <v>25</v>
      </c>
      <c r="C590" s="21" t="s">
        <v>26</v>
      </c>
      <c r="D590" s="21" t="s">
        <v>27</v>
      </c>
      <c r="E590" s="22" t="s">
        <v>23</v>
      </c>
      <c r="F590" s="20" t="s">
        <v>27</v>
      </c>
      <c r="G590" s="20" t="s">
        <v>27</v>
      </c>
    </row>
    <row r="591" ht="22" customHeight="1" spans="1:7" x14ac:dyDescent="0.25">
      <c r="A591" s="16" t="s">
        <v>28</v>
      </c>
      <c r="B591" s="17" t="s">
        <v>43</v>
      </c>
      <c r="C591" s="17" t="s">
        <v>311</v>
      </c>
      <c r="D591" s="17" t="s">
        <v>45</v>
      </c>
      <c r="E591" s="18">
        <v>42.5</v>
      </c>
      <c r="F591" s="19" t="s">
        <v>22</v>
      </c>
      <c r="G591" s="16" t="s">
        <v>23</v>
      </c>
    </row>
    <row r="592" ht="20" customHeight="1" spans="1:7" x14ac:dyDescent="0.25">
      <c r="A592" s="20" t="s">
        <v>30</v>
      </c>
      <c r="B592" s="21" t="s">
        <v>25</v>
      </c>
      <c r="C592" s="21" t="s">
        <v>26</v>
      </c>
      <c r="D592" s="21" t="s">
        <v>27</v>
      </c>
      <c r="E592" s="22" t="s">
        <v>23</v>
      </c>
      <c r="F592" s="20" t="s">
        <v>27</v>
      </c>
      <c r="G592" s="20" t="s">
        <v>27</v>
      </c>
    </row>
    <row r="593" ht="22" customHeight="1" spans="1:7" x14ac:dyDescent="0.25">
      <c r="A593" s="16" t="s">
        <v>31</v>
      </c>
      <c r="B593" s="17" t="s">
        <v>47</v>
      </c>
      <c r="C593" s="17" t="s">
        <v>312</v>
      </c>
      <c r="D593" s="17" t="s">
        <v>49</v>
      </c>
      <c r="E593" s="18">
        <v>67.8</v>
      </c>
      <c r="F593" s="19" t="s">
        <v>22</v>
      </c>
      <c r="G593" s="16" t="s">
        <v>23</v>
      </c>
    </row>
    <row r="594" ht="20" customHeight="1" spans="1:7" x14ac:dyDescent="0.25">
      <c r="A594" s="20" t="s">
        <v>35</v>
      </c>
      <c r="B594" s="21" t="s">
        <v>25</v>
      </c>
      <c r="C594" s="21" t="s">
        <v>26</v>
      </c>
      <c r="D594" s="21" t="s">
        <v>27</v>
      </c>
      <c r="E594" s="22" t="s">
        <v>23</v>
      </c>
      <c r="F594" s="20" t="s">
        <v>27</v>
      </c>
      <c r="G594" s="20" t="s">
        <v>27</v>
      </c>
    </row>
    <row r="595" ht="22" customHeight="1" spans="1:7" x14ac:dyDescent="0.25">
      <c r="A595" s="16" t="s">
        <v>36</v>
      </c>
      <c r="B595" s="17" t="s">
        <v>47</v>
      </c>
      <c r="C595" s="17" t="s">
        <v>313</v>
      </c>
      <c r="D595" s="17" t="s">
        <v>49</v>
      </c>
      <c r="E595" s="18">
        <v>64.8</v>
      </c>
      <c r="F595" s="19" t="s">
        <v>22</v>
      </c>
      <c r="G595" s="16" t="s">
        <v>23</v>
      </c>
    </row>
    <row r="596" ht="24" customHeight="1" spans="1:7" x14ac:dyDescent="0.25">
      <c r="A596" s="23" t="s">
        <v>38</v>
      </c>
      <c r="B596" s="23" t="s">
        <v>39</v>
      </c>
      <c r="C596" s="24" t="s">
        <v>40</v>
      </c>
      <c r="D596" s="24" t="s">
        <v>41</v>
      </c>
      <c r="E596" s="25">
        <f>SUM(E589,E591,E593,E595)</f>
        <v>235.5</v>
      </c>
      <c r="F596" s="23" t="str">
        <f>ROUND(E596/60, 1) &amp; " Saat"</f>
        <v>3.9 Saat</v>
      </c>
      <c r="G596" s="23" t="str">
        <f>COUNTIF(G589:G595, "X") &amp; "/4"</f>
        <v>0/4</v>
      </c>
    </row>
    <row r="597" ht="22" customHeight="1" spans="1:7" x14ac:dyDescent="0.25">
      <c r="A597" s="15" t="s">
        <v>51</v>
      </c>
      <c r="B597" s="15"/>
      <c r="C597" s="15"/>
      <c r="D597" s="15"/>
      <c r="E597" s="15"/>
      <c r="F597" s="15"/>
      <c r="G597" s="15"/>
    </row>
    <row r="598" ht="22" customHeight="1" spans="1:7" x14ac:dyDescent="0.25">
      <c r="A598" s="16" t="s">
        <v>18</v>
      </c>
      <c r="B598" s="17" t="s">
        <v>52</v>
      </c>
      <c r="C598" s="17" t="s">
        <v>314</v>
      </c>
      <c r="D598" s="17" t="s">
        <v>54</v>
      </c>
      <c r="E598" s="18">
        <v>37.6</v>
      </c>
      <c r="F598" s="19" t="s">
        <v>22</v>
      </c>
      <c r="G598" s="16" t="s">
        <v>23</v>
      </c>
    </row>
    <row r="599" ht="20" customHeight="1" spans="1:7" x14ac:dyDescent="0.25">
      <c r="A599" s="20" t="s">
        <v>24</v>
      </c>
      <c r="B599" s="21" t="s">
        <v>25</v>
      </c>
      <c r="C599" s="21" t="s">
        <v>26</v>
      </c>
      <c r="D599" s="21" t="s">
        <v>27</v>
      </c>
      <c r="E599" s="22" t="s">
        <v>23</v>
      </c>
      <c r="F599" s="20" t="s">
        <v>27</v>
      </c>
      <c r="G599" s="20" t="s">
        <v>27</v>
      </c>
    </row>
    <row r="600" ht="22" customHeight="1" spans="1:7" x14ac:dyDescent="0.25">
      <c r="A600" s="16" t="s">
        <v>28</v>
      </c>
      <c r="B600" s="17" t="s">
        <v>52</v>
      </c>
      <c r="C600" s="17" t="s">
        <v>315</v>
      </c>
      <c r="D600" s="17" t="s">
        <v>54</v>
      </c>
      <c r="E600" s="18">
        <v>22.9</v>
      </c>
      <c r="F600" s="19" t="s">
        <v>22</v>
      </c>
      <c r="G600" s="16" t="s">
        <v>23</v>
      </c>
    </row>
    <row r="601" ht="20" customHeight="1" spans="1:7" x14ac:dyDescent="0.25">
      <c r="A601" s="20" t="s">
        <v>30</v>
      </c>
      <c r="B601" s="21" t="s">
        <v>25</v>
      </c>
      <c r="C601" s="21" t="s">
        <v>26</v>
      </c>
      <c r="D601" s="21" t="s">
        <v>27</v>
      </c>
      <c r="E601" s="22" t="s">
        <v>23</v>
      </c>
      <c r="F601" s="20" t="s">
        <v>27</v>
      </c>
      <c r="G601" s="20" t="s">
        <v>27</v>
      </c>
    </row>
    <row r="602" ht="22" customHeight="1" spans="1:7" x14ac:dyDescent="0.25">
      <c r="A602" s="16" t="s">
        <v>31</v>
      </c>
      <c r="B602" s="17" t="s">
        <v>56</v>
      </c>
      <c r="C602" s="17" t="s">
        <v>316</v>
      </c>
      <c r="D602" s="17" t="s">
        <v>58</v>
      </c>
      <c r="E602" s="18">
        <v>45.6</v>
      </c>
      <c r="F602" s="19" t="s">
        <v>22</v>
      </c>
      <c r="G602" s="16" t="s">
        <v>23</v>
      </c>
    </row>
    <row r="603" ht="20" customHeight="1" spans="1:7" x14ac:dyDescent="0.25">
      <c r="A603" s="20" t="s">
        <v>35</v>
      </c>
      <c r="B603" s="21" t="s">
        <v>25</v>
      </c>
      <c r="C603" s="21" t="s">
        <v>26</v>
      </c>
      <c r="D603" s="21" t="s">
        <v>27</v>
      </c>
      <c r="E603" s="22" t="s">
        <v>23</v>
      </c>
      <c r="F603" s="20" t="s">
        <v>27</v>
      </c>
      <c r="G603" s="20" t="s">
        <v>27</v>
      </c>
    </row>
    <row r="604" ht="22" customHeight="1" spans="1:7" x14ac:dyDescent="0.25">
      <c r="A604" s="16" t="s">
        <v>36</v>
      </c>
      <c r="B604" s="17" t="s">
        <v>56</v>
      </c>
      <c r="C604" s="17" t="s">
        <v>317</v>
      </c>
      <c r="D604" s="17" t="s">
        <v>58</v>
      </c>
      <c r="E604" s="18">
        <v>82.5</v>
      </c>
      <c r="F604" s="19" t="s">
        <v>22</v>
      </c>
      <c r="G604" s="16" t="s">
        <v>23</v>
      </c>
    </row>
    <row r="605" ht="24" customHeight="1" spans="1:7" x14ac:dyDescent="0.25">
      <c r="A605" s="23" t="s">
        <v>38</v>
      </c>
      <c r="B605" s="23" t="s">
        <v>39</v>
      </c>
      <c r="C605" s="24" t="s">
        <v>40</v>
      </c>
      <c r="D605" s="24" t="s">
        <v>41</v>
      </c>
      <c r="E605" s="25">
        <f>SUM(E598,E600,E602,E604)</f>
        <v>188.6</v>
      </c>
      <c r="F605" s="23" t="str">
        <f>ROUND(E605/60, 1) &amp; " Saat"</f>
        <v>3.1 Saat</v>
      </c>
      <c r="G605" s="23" t="str">
        <f>COUNTIF(G598:G604, "X") &amp; "/4"</f>
        <v>0/4</v>
      </c>
    </row>
    <row r="606" ht="22" customHeight="1" spans="1:7" x14ac:dyDescent="0.25">
      <c r="A606" s="15" t="s">
        <v>60</v>
      </c>
      <c r="B606" s="15"/>
      <c r="C606" s="15"/>
      <c r="D606" s="15"/>
      <c r="E606" s="15"/>
      <c r="F606" s="15"/>
      <c r="G606" s="15"/>
    </row>
    <row r="607" ht="22" customHeight="1" spans="1:7" x14ac:dyDescent="0.25">
      <c r="A607" s="16" t="s">
        <v>18</v>
      </c>
      <c r="B607" s="17" t="s">
        <v>43</v>
      </c>
      <c r="C607" s="17" t="s">
        <v>318</v>
      </c>
      <c r="D607" s="17" t="s">
        <v>45</v>
      </c>
      <c r="E607" s="18">
        <v>63.9</v>
      </c>
      <c r="F607" s="19" t="s">
        <v>22</v>
      </c>
      <c r="G607" s="16" t="s">
        <v>23</v>
      </c>
    </row>
    <row r="608" ht="20" customHeight="1" spans="1:7" x14ac:dyDescent="0.25">
      <c r="A608" s="20" t="s">
        <v>24</v>
      </c>
      <c r="B608" s="21" t="s">
        <v>25</v>
      </c>
      <c r="C608" s="21" t="s">
        <v>26</v>
      </c>
      <c r="D608" s="21" t="s">
        <v>27</v>
      </c>
      <c r="E608" s="22" t="s">
        <v>23</v>
      </c>
      <c r="F608" s="20" t="s">
        <v>27</v>
      </c>
      <c r="G608" s="20" t="s">
        <v>27</v>
      </c>
    </row>
    <row r="609" ht="22" customHeight="1" spans="1:7" x14ac:dyDescent="0.25">
      <c r="A609" s="16" t="s">
        <v>28</v>
      </c>
      <c r="B609" s="17" t="s">
        <v>43</v>
      </c>
      <c r="C609" s="17" t="s">
        <v>319</v>
      </c>
      <c r="D609" s="17" t="s">
        <v>45</v>
      </c>
      <c r="E609" s="18">
        <v>55.6</v>
      </c>
      <c r="F609" s="19" t="s">
        <v>22</v>
      </c>
      <c r="G609" s="16" t="s">
        <v>23</v>
      </c>
    </row>
    <row r="610" ht="20" customHeight="1" spans="1:7" x14ac:dyDescent="0.25">
      <c r="A610" s="20" t="s">
        <v>30</v>
      </c>
      <c r="B610" s="21" t="s">
        <v>25</v>
      </c>
      <c r="C610" s="21" t="s">
        <v>26</v>
      </c>
      <c r="D610" s="21" t="s">
        <v>27</v>
      </c>
      <c r="E610" s="22" t="s">
        <v>23</v>
      </c>
      <c r="F610" s="20" t="s">
        <v>27</v>
      </c>
      <c r="G610" s="20" t="s">
        <v>27</v>
      </c>
    </row>
    <row r="611" ht="22" customHeight="1" spans="1:7" x14ac:dyDescent="0.25">
      <c r="A611" s="16" t="s">
        <v>31</v>
      </c>
      <c r="B611" s="17" t="s">
        <v>63</v>
      </c>
      <c r="C611" s="17" t="s">
        <v>320</v>
      </c>
      <c r="D611" s="17" t="s">
        <v>65</v>
      </c>
      <c r="E611" s="18">
        <v>25.7</v>
      </c>
      <c r="F611" s="19" t="s">
        <v>22</v>
      </c>
      <c r="G611" s="16" t="s">
        <v>23</v>
      </c>
    </row>
    <row r="612" ht="20" customHeight="1" spans="1:7" x14ac:dyDescent="0.25">
      <c r="A612" s="20" t="s">
        <v>35</v>
      </c>
      <c r="B612" s="21" t="s">
        <v>25</v>
      </c>
      <c r="C612" s="21" t="s">
        <v>26</v>
      </c>
      <c r="D612" s="21" t="s">
        <v>27</v>
      </c>
      <c r="E612" s="22" t="s">
        <v>23</v>
      </c>
      <c r="F612" s="20" t="s">
        <v>27</v>
      </c>
      <c r="G612" s="20" t="s">
        <v>27</v>
      </c>
    </row>
    <row r="613" ht="22" customHeight="1" spans="1:7" x14ac:dyDescent="0.25">
      <c r="A613" s="16" t="s">
        <v>36</v>
      </c>
      <c r="B613" s="17" t="s">
        <v>63</v>
      </c>
      <c r="C613" s="17" t="s">
        <v>321</v>
      </c>
      <c r="D613" s="17" t="s">
        <v>65</v>
      </c>
      <c r="E613" s="18">
        <v>14.9</v>
      </c>
      <c r="F613" s="19" t="s">
        <v>22</v>
      </c>
      <c r="G613" s="16" t="s">
        <v>23</v>
      </c>
    </row>
    <row r="614" ht="24" customHeight="1" spans="1:7" x14ac:dyDescent="0.25">
      <c r="A614" s="23" t="s">
        <v>38</v>
      </c>
      <c r="B614" s="23" t="s">
        <v>39</v>
      </c>
      <c r="C614" s="24" t="s">
        <v>40</v>
      </c>
      <c r="D614" s="24" t="s">
        <v>41</v>
      </c>
      <c r="E614" s="25">
        <f>SUM(E607,E609,E611,E613)</f>
        <v>160.1</v>
      </c>
      <c r="F614" s="23" t="str">
        <f>ROUND(E614/60, 1) &amp; " Saat"</f>
        <v>2.7 Saat</v>
      </c>
      <c r="G614" s="23" t="str">
        <f>COUNTIF(G607:G613, "X") &amp; "/4"</f>
        <v>0/4</v>
      </c>
    </row>
    <row r="615" ht="22" customHeight="1" spans="1:7" x14ac:dyDescent="0.25">
      <c r="A615" s="15" t="s">
        <v>67</v>
      </c>
      <c r="B615" s="15"/>
      <c r="C615" s="15"/>
      <c r="D615" s="15"/>
      <c r="E615" s="15"/>
      <c r="F615" s="15"/>
      <c r="G615" s="15"/>
    </row>
    <row r="616" ht="22" customHeight="1" spans="1:7" x14ac:dyDescent="0.25">
      <c r="A616" s="16" t="s">
        <v>18</v>
      </c>
      <c r="B616" s="17" t="s">
        <v>68</v>
      </c>
      <c r="C616" s="17" t="s">
        <v>322</v>
      </c>
      <c r="D616" s="17" t="s">
        <v>70</v>
      </c>
      <c r="E616" s="18">
        <v>34.8</v>
      </c>
      <c r="F616" s="19" t="s">
        <v>22</v>
      </c>
      <c r="G616" s="16" t="s">
        <v>23</v>
      </c>
    </row>
    <row r="617" ht="20" customHeight="1" spans="1:7" x14ac:dyDescent="0.25">
      <c r="A617" s="20" t="s">
        <v>24</v>
      </c>
      <c r="B617" s="21" t="s">
        <v>25</v>
      </c>
      <c r="C617" s="21" t="s">
        <v>26</v>
      </c>
      <c r="D617" s="21" t="s">
        <v>27</v>
      </c>
      <c r="E617" s="22" t="s">
        <v>23</v>
      </c>
      <c r="F617" s="20" t="s">
        <v>27</v>
      </c>
      <c r="G617" s="20" t="s">
        <v>27</v>
      </c>
    </row>
    <row r="618" ht="22" customHeight="1" spans="1:7" x14ac:dyDescent="0.25">
      <c r="A618" s="16" t="s">
        <v>28</v>
      </c>
      <c r="B618" s="17" t="s">
        <v>68</v>
      </c>
      <c r="C618" s="17" t="s">
        <v>323</v>
      </c>
      <c r="D618" s="17" t="s">
        <v>70</v>
      </c>
      <c r="E618" s="18">
        <v>32.8</v>
      </c>
      <c r="F618" s="19" t="s">
        <v>22</v>
      </c>
      <c r="G618" s="16" t="s">
        <v>23</v>
      </c>
    </row>
    <row r="619" ht="20" customHeight="1" spans="1:7" x14ac:dyDescent="0.25">
      <c r="A619" s="20" t="s">
        <v>30</v>
      </c>
      <c r="B619" s="21" t="s">
        <v>25</v>
      </c>
      <c r="C619" s="21" t="s">
        <v>26</v>
      </c>
      <c r="D619" s="21" t="s">
        <v>27</v>
      </c>
      <c r="E619" s="22" t="s">
        <v>23</v>
      </c>
      <c r="F619" s="20" t="s">
        <v>27</v>
      </c>
      <c r="G619" s="20" t="s">
        <v>27</v>
      </c>
    </row>
    <row r="620" ht="22" customHeight="1" spans="1:7" x14ac:dyDescent="0.25">
      <c r="A620" s="16" t="s">
        <v>31</v>
      </c>
      <c r="B620" s="17" t="s">
        <v>56</v>
      </c>
      <c r="C620" s="17" t="s">
        <v>324</v>
      </c>
      <c r="D620" s="17" t="s">
        <v>58</v>
      </c>
      <c r="E620" s="18">
        <v>39.3</v>
      </c>
      <c r="F620" s="19" t="s">
        <v>22</v>
      </c>
      <c r="G620" s="16" t="s">
        <v>23</v>
      </c>
    </row>
    <row r="621" ht="20" customHeight="1" spans="1:7" x14ac:dyDescent="0.25">
      <c r="A621" s="20" t="s">
        <v>35</v>
      </c>
      <c r="B621" s="21" t="s">
        <v>25</v>
      </c>
      <c r="C621" s="21" t="s">
        <v>26</v>
      </c>
      <c r="D621" s="21" t="s">
        <v>27</v>
      </c>
      <c r="E621" s="22" t="s">
        <v>23</v>
      </c>
      <c r="F621" s="20" t="s">
        <v>27</v>
      </c>
      <c r="G621" s="20" t="s">
        <v>27</v>
      </c>
    </row>
    <row r="622" ht="22" customHeight="1" spans="1:7" x14ac:dyDescent="0.25">
      <c r="A622" s="16" t="s">
        <v>36</v>
      </c>
      <c r="B622" s="17" t="s">
        <v>56</v>
      </c>
      <c r="C622" s="17" t="s">
        <v>325</v>
      </c>
      <c r="D622" s="17" t="s">
        <v>58</v>
      </c>
      <c r="E622" s="18">
        <v>30.9</v>
      </c>
      <c r="F622" s="19" t="s">
        <v>22</v>
      </c>
      <c r="G622" s="16" t="s">
        <v>23</v>
      </c>
    </row>
    <row r="623" ht="24" customHeight="1" spans="1:7" x14ac:dyDescent="0.25">
      <c r="A623" s="23" t="s">
        <v>38</v>
      </c>
      <c r="B623" s="23" t="s">
        <v>39</v>
      </c>
      <c r="C623" s="24" t="s">
        <v>40</v>
      </c>
      <c r="D623" s="24" t="s">
        <v>41</v>
      </c>
      <c r="E623" s="25">
        <f>SUM(E616,E618,E620,E622)</f>
        <v>137.8</v>
      </c>
      <c r="F623" s="23" t="str">
        <f>ROUND(E623/60, 1) &amp; " Saat"</f>
        <v>2.3 Saat</v>
      </c>
      <c r="G623" s="23" t="str">
        <f>COUNTIF(G616:G622, "X") &amp; "/4"</f>
        <v>0/4</v>
      </c>
    </row>
    <row r="624" ht="22" customHeight="1" spans="1:7" x14ac:dyDescent="0.25">
      <c r="A624" s="15" t="s">
        <v>74</v>
      </c>
      <c r="B624" s="15"/>
      <c r="C624" s="15"/>
      <c r="D624" s="15"/>
      <c r="E624" s="15"/>
      <c r="F624" s="15"/>
      <c r="G624" s="15"/>
    </row>
    <row r="625" ht="22" customHeight="1" spans="1:7" x14ac:dyDescent="0.25">
      <c r="A625" s="16" t="s">
        <v>18</v>
      </c>
      <c r="B625" s="17" t="s">
        <v>47</v>
      </c>
      <c r="C625" s="17" t="s">
        <v>326</v>
      </c>
      <c r="D625" s="17" t="s">
        <v>49</v>
      </c>
      <c r="E625" s="18">
        <v>59.6</v>
      </c>
      <c r="F625" s="19" t="s">
        <v>22</v>
      </c>
      <c r="G625" s="16" t="s">
        <v>23</v>
      </c>
    </row>
    <row r="626" ht="20" customHeight="1" spans="1:7" x14ac:dyDescent="0.25">
      <c r="A626" s="20" t="s">
        <v>24</v>
      </c>
      <c r="B626" s="21" t="s">
        <v>25</v>
      </c>
      <c r="C626" s="21" t="s">
        <v>26</v>
      </c>
      <c r="D626" s="21" t="s">
        <v>27</v>
      </c>
      <c r="E626" s="22" t="s">
        <v>23</v>
      </c>
      <c r="F626" s="20" t="s">
        <v>27</v>
      </c>
      <c r="G626" s="20" t="s">
        <v>27</v>
      </c>
    </row>
    <row r="627" ht="22" customHeight="1" spans="1:7" x14ac:dyDescent="0.25">
      <c r="A627" s="16" t="s">
        <v>28</v>
      </c>
      <c r="B627" s="17" t="s">
        <v>47</v>
      </c>
      <c r="C627" s="17" t="s">
        <v>327</v>
      </c>
      <c r="D627" s="17" t="s">
        <v>49</v>
      </c>
      <c r="E627" s="18">
        <v>53</v>
      </c>
      <c r="F627" s="19" t="s">
        <v>22</v>
      </c>
      <c r="G627" s="16" t="s">
        <v>23</v>
      </c>
    </row>
    <row r="628" ht="20" customHeight="1" spans="1:7" x14ac:dyDescent="0.25">
      <c r="A628" s="20" t="s">
        <v>30</v>
      </c>
      <c r="B628" s="21" t="s">
        <v>25</v>
      </c>
      <c r="C628" s="21" t="s">
        <v>26</v>
      </c>
      <c r="D628" s="21" t="s">
        <v>27</v>
      </c>
      <c r="E628" s="22" t="s">
        <v>23</v>
      </c>
      <c r="F628" s="20" t="s">
        <v>27</v>
      </c>
      <c r="G628" s="20" t="s">
        <v>27</v>
      </c>
    </row>
    <row r="629" ht="22" customHeight="1" spans="1:7" x14ac:dyDescent="0.25">
      <c r="A629" s="16" t="s">
        <v>31</v>
      </c>
      <c r="B629" s="17" t="s">
        <v>52</v>
      </c>
      <c r="C629" s="17" t="s">
        <v>328</v>
      </c>
      <c r="D629" s="17" t="s">
        <v>54</v>
      </c>
      <c r="E629" s="18">
        <v>34</v>
      </c>
      <c r="F629" s="19" t="s">
        <v>22</v>
      </c>
      <c r="G629" s="16" t="s">
        <v>23</v>
      </c>
    </row>
    <row r="630" ht="20" customHeight="1" spans="1:7" x14ac:dyDescent="0.25">
      <c r="A630" s="20" t="s">
        <v>35</v>
      </c>
      <c r="B630" s="21" t="s">
        <v>25</v>
      </c>
      <c r="C630" s="21" t="s">
        <v>26</v>
      </c>
      <c r="D630" s="21" t="s">
        <v>27</v>
      </c>
      <c r="E630" s="22" t="s">
        <v>23</v>
      </c>
      <c r="F630" s="20" t="s">
        <v>27</v>
      </c>
      <c r="G630" s="20" t="s">
        <v>27</v>
      </c>
    </row>
    <row r="631" ht="22" customHeight="1" spans="1:7" x14ac:dyDescent="0.25">
      <c r="A631" s="16" t="s">
        <v>36</v>
      </c>
      <c r="B631" s="17" t="s">
        <v>52</v>
      </c>
      <c r="C631" s="17" t="s">
        <v>329</v>
      </c>
      <c r="D631" s="17" t="s">
        <v>54</v>
      </c>
      <c r="E631" s="18">
        <v>13.8</v>
      </c>
      <c r="F631" s="19" t="s">
        <v>22</v>
      </c>
      <c r="G631" s="16" t="s">
        <v>23</v>
      </c>
    </row>
    <row r="632" ht="24" customHeight="1" spans="1:7" x14ac:dyDescent="0.25">
      <c r="A632" s="23" t="s">
        <v>38</v>
      </c>
      <c r="B632" s="23" t="s">
        <v>39</v>
      </c>
      <c r="C632" s="24" t="s">
        <v>40</v>
      </c>
      <c r="D632" s="24" t="s">
        <v>41</v>
      </c>
      <c r="E632" s="25">
        <f>SUM(E625,E627,E629,E631)</f>
        <v>160.4</v>
      </c>
      <c r="F632" s="23" t="str">
        <f>ROUND(E632/60, 1) &amp; " Saat"</f>
        <v>2.7 Saat</v>
      </c>
      <c r="G632" s="23" t="str">
        <f>COUNTIF(G625:G631, "X") &amp; "/4"</f>
        <v>0/4</v>
      </c>
    </row>
    <row r="633" ht="28" customHeight="1" spans="1:7" x14ac:dyDescent="0.25">
      <c r="A633" s="26" t="s">
        <v>79</v>
      </c>
      <c r="B633" s="26"/>
      <c r="C633" s="26"/>
      <c r="D633" s="26"/>
      <c r="E633" s="26"/>
      <c r="F633" s="26"/>
      <c r="G633" s="26"/>
    </row>
    <row r="634" ht="8" customHeight="1" x14ac:dyDescent="0.25"/>
    <row r="635" ht="25" customHeight="1" spans="1:7" x14ac:dyDescent="0.25">
      <c r="A635" s="14" t="s">
        <v>330</v>
      </c>
      <c r="B635" s="14"/>
      <c r="C635" s="14"/>
      <c r="D635" s="14"/>
      <c r="E635" s="14"/>
      <c r="F635" s="14"/>
      <c r="G635" s="14"/>
    </row>
    <row r="636" ht="22" customHeight="1" spans="1:7" x14ac:dyDescent="0.25">
      <c r="A636" s="15" t="s">
        <v>17</v>
      </c>
      <c r="B636" s="15"/>
      <c r="C636" s="15"/>
      <c r="D636" s="15"/>
      <c r="E636" s="15"/>
      <c r="F636" s="15"/>
      <c r="G636" s="15"/>
    </row>
    <row r="637" ht="22" customHeight="1" spans="1:7" x14ac:dyDescent="0.25">
      <c r="A637" s="16" t="s">
        <v>18</v>
      </c>
      <c r="B637" s="17" t="s">
        <v>19</v>
      </c>
      <c r="C637" s="17" t="s">
        <v>331</v>
      </c>
      <c r="D637" s="17" t="s">
        <v>21</v>
      </c>
      <c r="E637" s="18">
        <v>26.8</v>
      </c>
      <c r="F637" s="19" t="s">
        <v>22</v>
      </c>
      <c r="G637" s="16" t="s">
        <v>23</v>
      </c>
    </row>
    <row r="638" ht="20" customHeight="1" spans="1:7" x14ac:dyDescent="0.25">
      <c r="A638" s="20" t="s">
        <v>24</v>
      </c>
      <c r="B638" s="21" t="s">
        <v>25</v>
      </c>
      <c r="C638" s="21" t="s">
        <v>26</v>
      </c>
      <c r="D638" s="21" t="s">
        <v>27</v>
      </c>
      <c r="E638" s="22" t="s">
        <v>23</v>
      </c>
      <c r="F638" s="20" t="s">
        <v>27</v>
      </c>
      <c r="G638" s="20" t="s">
        <v>27</v>
      </c>
    </row>
    <row r="639" ht="22" customHeight="1" spans="1:7" x14ac:dyDescent="0.25">
      <c r="A639" s="16" t="s">
        <v>28</v>
      </c>
      <c r="B639" s="17" t="s">
        <v>19</v>
      </c>
      <c r="C639" s="17" t="s">
        <v>332</v>
      </c>
      <c r="D639" s="17" t="s">
        <v>21</v>
      </c>
      <c r="E639" s="18">
        <v>29.4</v>
      </c>
      <c r="F639" s="19" t="s">
        <v>22</v>
      </c>
      <c r="G639" s="16" t="s">
        <v>23</v>
      </c>
    </row>
    <row r="640" ht="20" customHeight="1" spans="1:7" x14ac:dyDescent="0.25">
      <c r="A640" s="20" t="s">
        <v>30</v>
      </c>
      <c r="B640" s="21" t="s">
        <v>25</v>
      </c>
      <c r="C640" s="21" t="s">
        <v>26</v>
      </c>
      <c r="D640" s="21" t="s">
        <v>27</v>
      </c>
      <c r="E640" s="22" t="s">
        <v>23</v>
      </c>
      <c r="F640" s="20" t="s">
        <v>27</v>
      </c>
      <c r="G640" s="20" t="s">
        <v>27</v>
      </c>
    </row>
    <row r="641" ht="22" customHeight="1" spans="1:7" x14ac:dyDescent="0.25">
      <c r="A641" s="16" t="s">
        <v>31</v>
      </c>
      <c r="B641" s="17" t="s">
        <v>32</v>
      </c>
      <c r="C641" s="17" t="s">
        <v>333</v>
      </c>
      <c r="D641" s="17" t="s">
        <v>34</v>
      </c>
      <c r="E641" s="18">
        <v>28.4</v>
      </c>
      <c r="F641" s="19" t="s">
        <v>22</v>
      </c>
      <c r="G641" s="16" t="s">
        <v>23</v>
      </c>
    </row>
    <row r="642" ht="20" customHeight="1" spans="1:7" x14ac:dyDescent="0.25">
      <c r="A642" s="20" t="s">
        <v>35</v>
      </c>
      <c r="B642" s="21" t="s">
        <v>25</v>
      </c>
      <c r="C642" s="21" t="s">
        <v>26</v>
      </c>
      <c r="D642" s="21" t="s">
        <v>27</v>
      </c>
      <c r="E642" s="22" t="s">
        <v>23</v>
      </c>
      <c r="F642" s="20" t="s">
        <v>27</v>
      </c>
      <c r="G642" s="20" t="s">
        <v>27</v>
      </c>
    </row>
    <row r="643" ht="22" customHeight="1" spans="1:7" x14ac:dyDescent="0.25">
      <c r="A643" s="16" t="s">
        <v>36</v>
      </c>
      <c r="B643" s="17" t="s">
        <v>32</v>
      </c>
      <c r="C643" s="17" t="s">
        <v>334</v>
      </c>
      <c r="D643" s="17" t="s">
        <v>34</v>
      </c>
      <c r="E643" s="18">
        <v>16.8</v>
      </c>
      <c r="F643" s="19" t="s">
        <v>22</v>
      </c>
      <c r="G643" s="16" t="s">
        <v>23</v>
      </c>
    </row>
    <row r="644" ht="24" customHeight="1" spans="1:7" x14ac:dyDescent="0.25">
      <c r="A644" s="23" t="s">
        <v>38</v>
      </c>
      <c r="B644" s="23" t="s">
        <v>39</v>
      </c>
      <c r="C644" s="24" t="s">
        <v>40</v>
      </c>
      <c r="D644" s="24" t="s">
        <v>41</v>
      </c>
      <c r="E644" s="25">
        <f>SUM(E637,E639,E641,E643)</f>
        <v>101.4</v>
      </c>
      <c r="F644" s="23" t="str">
        <f>ROUND(E644/60, 1) &amp; " Saat"</f>
        <v>1.7 Saat</v>
      </c>
      <c r="G644" s="23" t="str">
        <f>COUNTIF(G637:G643, "X") &amp; "/4"</f>
        <v>0/4</v>
      </c>
    </row>
    <row r="645" ht="22" customHeight="1" spans="1:7" x14ac:dyDescent="0.25">
      <c r="A645" s="15" t="s">
        <v>42</v>
      </c>
      <c r="B645" s="15"/>
      <c r="C645" s="15"/>
      <c r="D645" s="15"/>
      <c r="E645" s="15"/>
      <c r="F645" s="15"/>
      <c r="G645" s="15"/>
    </row>
    <row r="646" ht="22" customHeight="1" spans="1:7" x14ac:dyDescent="0.25">
      <c r="A646" s="16" t="s">
        <v>18</v>
      </c>
      <c r="B646" s="17" t="s">
        <v>43</v>
      </c>
      <c r="C646" s="17" t="s">
        <v>335</v>
      </c>
      <c r="D646" s="17" t="s">
        <v>45</v>
      </c>
      <c r="E646" s="18">
        <v>46.4</v>
      </c>
      <c r="F646" s="19" t="s">
        <v>22</v>
      </c>
      <c r="G646" s="16" t="s">
        <v>23</v>
      </c>
    </row>
    <row r="647" ht="20" customHeight="1" spans="1:7" x14ac:dyDescent="0.25">
      <c r="A647" s="20" t="s">
        <v>24</v>
      </c>
      <c r="B647" s="21" t="s">
        <v>25</v>
      </c>
      <c r="C647" s="21" t="s">
        <v>26</v>
      </c>
      <c r="D647" s="21" t="s">
        <v>27</v>
      </c>
      <c r="E647" s="22" t="s">
        <v>23</v>
      </c>
      <c r="F647" s="20" t="s">
        <v>27</v>
      </c>
      <c r="G647" s="20" t="s">
        <v>27</v>
      </c>
    </row>
    <row r="648" ht="22" customHeight="1" spans="1:7" x14ac:dyDescent="0.25">
      <c r="A648" s="16" t="s">
        <v>28</v>
      </c>
      <c r="B648" s="17" t="s">
        <v>43</v>
      </c>
      <c r="C648" s="17" t="s">
        <v>336</v>
      </c>
      <c r="D648" s="17" t="s">
        <v>45</v>
      </c>
      <c r="E648" s="18">
        <v>45.1</v>
      </c>
      <c r="F648" s="19" t="s">
        <v>22</v>
      </c>
      <c r="G648" s="16" t="s">
        <v>23</v>
      </c>
    </row>
    <row r="649" ht="20" customHeight="1" spans="1:7" x14ac:dyDescent="0.25">
      <c r="A649" s="20" t="s">
        <v>30</v>
      </c>
      <c r="B649" s="21" t="s">
        <v>25</v>
      </c>
      <c r="C649" s="21" t="s">
        <v>26</v>
      </c>
      <c r="D649" s="21" t="s">
        <v>27</v>
      </c>
      <c r="E649" s="22" t="s">
        <v>23</v>
      </c>
      <c r="F649" s="20" t="s">
        <v>27</v>
      </c>
      <c r="G649" s="20" t="s">
        <v>27</v>
      </c>
    </row>
    <row r="650" ht="22" customHeight="1" spans="1:7" x14ac:dyDescent="0.25">
      <c r="A650" s="16" t="s">
        <v>31</v>
      </c>
      <c r="B650" s="17" t="s">
        <v>47</v>
      </c>
      <c r="C650" s="17" t="s">
        <v>337</v>
      </c>
      <c r="D650" s="17" t="s">
        <v>49</v>
      </c>
      <c r="E650" s="18">
        <v>57</v>
      </c>
      <c r="F650" s="19" t="s">
        <v>22</v>
      </c>
      <c r="G650" s="16" t="s">
        <v>23</v>
      </c>
    </row>
    <row r="651" ht="20" customHeight="1" spans="1:7" x14ac:dyDescent="0.25">
      <c r="A651" s="20" t="s">
        <v>35</v>
      </c>
      <c r="B651" s="21" t="s">
        <v>25</v>
      </c>
      <c r="C651" s="21" t="s">
        <v>26</v>
      </c>
      <c r="D651" s="21" t="s">
        <v>27</v>
      </c>
      <c r="E651" s="22" t="s">
        <v>23</v>
      </c>
      <c r="F651" s="20" t="s">
        <v>27</v>
      </c>
      <c r="G651" s="20" t="s">
        <v>27</v>
      </c>
    </row>
    <row r="652" ht="22" customHeight="1" spans="1:7" x14ac:dyDescent="0.25">
      <c r="A652" s="16" t="s">
        <v>36</v>
      </c>
      <c r="B652" s="17" t="s">
        <v>47</v>
      </c>
      <c r="C652" s="17" t="s">
        <v>338</v>
      </c>
      <c r="D652" s="17" t="s">
        <v>49</v>
      </c>
      <c r="E652" s="18">
        <v>33</v>
      </c>
      <c r="F652" s="19" t="s">
        <v>22</v>
      </c>
      <c r="G652" s="16" t="s">
        <v>23</v>
      </c>
    </row>
    <row r="653" ht="24" customHeight="1" spans="1:7" x14ac:dyDescent="0.25">
      <c r="A653" s="23" t="s">
        <v>38</v>
      </c>
      <c r="B653" s="23" t="s">
        <v>39</v>
      </c>
      <c r="C653" s="24" t="s">
        <v>40</v>
      </c>
      <c r="D653" s="24" t="s">
        <v>41</v>
      </c>
      <c r="E653" s="25">
        <f>SUM(E646,E648,E650,E652)</f>
        <v>181.5</v>
      </c>
      <c r="F653" s="23" t="str">
        <f>ROUND(E653/60, 1) &amp; " Saat"</f>
        <v>3.0 Saat</v>
      </c>
      <c r="G653" s="23" t="str">
        <f>COUNTIF(G646:G652, "X") &amp; "/4"</f>
        <v>0/4</v>
      </c>
    </row>
    <row r="654" ht="22" customHeight="1" spans="1:7" x14ac:dyDescent="0.25">
      <c r="A654" s="15" t="s">
        <v>51</v>
      </c>
      <c r="B654" s="15"/>
      <c r="C654" s="15"/>
      <c r="D654" s="15"/>
      <c r="E654" s="15"/>
      <c r="F654" s="15"/>
      <c r="G654" s="15"/>
    </row>
    <row r="655" ht="22" customHeight="1" spans="1:7" x14ac:dyDescent="0.25">
      <c r="A655" s="16" t="s">
        <v>18</v>
      </c>
      <c r="B655" s="17" t="s">
        <v>52</v>
      </c>
      <c r="C655" s="17" t="s">
        <v>339</v>
      </c>
      <c r="D655" s="17" t="s">
        <v>54</v>
      </c>
      <c r="E655" s="18">
        <v>25.5</v>
      </c>
      <c r="F655" s="19" t="s">
        <v>22</v>
      </c>
      <c r="G655" s="16" t="s">
        <v>23</v>
      </c>
    </row>
    <row r="656" ht="20" customHeight="1" spans="1:7" x14ac:dyDescent="0.25">
      <c r="A656" s="20" t="s">
        <v>24</v>
      </c>
      <c r="B656" s="21" t="s">
        <v>25</v>
      </c>
      <c r="C656" s="21" t="s">
        <v>26</v>
      </c>
      <c r="D656" s="21" t="s">
        <v>27</v>
      </c>
      <c r="E656" s="22" t="s">
        <v>23</v>
      </c>
      <c r="F656" s="20" t="s">
        <v>27</v>
      </c>
      <c r="G656" s="20" t="s">
        <v>27</v>
      </c>
    </row>
    <row r="657" ht="22" customHeight="1" spans="1:7" x14ac:dyDescent="0.25">
      <c r="A657" s="16" t="s">
        <v>28</v>
      </c>
      <c r="B657" s="17" t="s">
        <v>52</v>
      </c>
      <c r="C657" s="17" t="s">
        <v>340</v>
      </c>
      <c r="D657" s="17" t="s">
        <v>54</v>
      </c>
      <c r="E657" s="18">
        <v>29.6</v>
      </c>
      <c r="F657" s="19" t="s">
        <v>22</v>
      </c>
      <c r="G657" s="16" t="s">
        <v>23</v>
      </c>
    </row>
    <row r="658" ht="20" customHeight="1" spans="1:7" x14ac:dyDescent="0.25">
      <c r="A658" s="20" t="s">
        <v>30</v>
      </c>
      <c r="B658" s="21" t="s">
        <v>25</v>
      </c>
      <c r="C658" s="21" t="s">
        <v>26</v>
      </c>
      <c r="D658" s="21" t="s">
        <v>27</v>
      </c>
      <c r="E658" s="22" t="s">
        <v>23</v>
      </c>
      <c r="F658" s="20" t="s">
        <v>27</v>
      </c>
      <c r="G658" s="20" t="s">
        <v>27</v>
      </c>
    </row>
    <row r="659" ht="22" customHeight="1" spans="1:7" x14ac:dyDescent="0.25">
      <c r="A659" s="16" t="s">
        <v>31</v>
      </c>
      <c r="B659" s="17" t="s">
        <v>56</v>
      </c>
      <c r="C659" s="17" t="s">
        <v>341</v>
      </c>
      <c r="D659" s="17" t="s">
        <v>58</v>
      </c>
      <c r="E659" s="18">
        <v>32.4</v>
      </c>
      <c r="F659" s="19" t="s">
        <v>22</v>
      </c>
      <c r="G659" s="16" t="s">
        <v>23</v>
      </c>
    </row>
    <row r="660" ht="20" customHeight="1" spans="1:7" x14ac:dyDescent="0.25">
      <c r="A660" s="20" t="s">
        <v>35</v>
      </c>
      <c r="B660" s="21" t="s">
        <v>25</v>
      </c>
      <c r="C660" s="21" t="s">
        <v>26</v>
      </c>
      <c r="D660" s="21" t="s">
        <v>27</v>
      </c>
      <c r="E660" s="22" t="s">
        <v>23</v>
      </c>
      <c r="F660" s="20" t="s">
        <v>27</v>
      </c>
      <c r="G660" s="20" t="s">
        <v>27</v>
      </c>
    </row>
    <row r="661" ht="22" customHeight="1" spans="1:7" x14ac:dyDescent="0.25">
      <c r="A661" s="16" t="s">
        <v>36</v>
      </c>
      <c r="B661" s="17" t="s">
        <v>56</v>
      </c>
      <c r="C661" s="17" t="s">
        <v>342</v>
      </c>
      <c r="D661" s="17" t="s">
        <v>58</v>
      </c>
      <c r="E661" s="18">
        <v>36.7</v>
      </c>
      <c r="F661" s="19" t="s">
        <v>22</v>
      </c>
      <c r="G661" s="16" t="s">
        <v>23</v>
      </c>
    </row>
    <row r="662" ht="24" customHeight="1" spans="1:7" x14ac:dyDescent="0.25">
      <c r="A662" s="23" t="s">
        <v>38</v>
      </c>
      <c r="B662" s="23" t="s">
        <v>39</v>
      </c>
      <c r="C662" s="24" t="s">
        <v>40</v>
      </c>
      <c r="D662" s="24" t="s">
        <v>41</v>
      </c>
      <c r="E662" s="25">
        <f>SUM(E655,E657,E659,E661)</f>
        <v>124.2</v>
      </c>
      <c r="F662" s="23" t="str">
        <f>ROUND(E662/60, 1) &amp; " Saat"</f>
        <v>2.1 Saat</v>
      </c>
      <c r="G662" s="23" t="str">
        <f>COUNTIF(G655:G661, "X") &amp; "/4"</f>
        <v>0/4</v>
      </c>
    </row>
    <row r="663" ht="22" customHeight="1" spans="1:7" x14ac:dyDescent="0.25">
      <c r="A663" s="15" t="s">
        <v>60</v>
      </c>
      <c r="B663" s="15"/>
      <c r="C663" s="15"/>
      <c r="D663" s="15"/>
      <c r="E663" s="15"/>
      <c r="F663" s="15"/>
      <c r="G663" s="15"/>
    </row>
    <row r="664" ht="22" customHeight="1" spans="1:7" x14ac:dyDescent="0.25">
      <c r="A664" s="16" t="s">
        <v>18</v>
      </c>
      <c r="B664" s="17" t="s">
        <v>43</v>
      </c>
      <c r="C664" s="17" t="s">
        <v>343</v>
      </c>
      <c r="D664" s="17" t="s">
        <v>45</v>
      </c>
      <c r="E664" s="18">
        <v>72.5</v>
      </c>
      <c r="F664" s="19" t="s">
        <v>22</v>
      </c>
      <c r="G664" s="16" t="s">
        <v>23</v>
      </c>
    </row>
    <row r="665" ht="20" customHeight="1" spans="1:7" x14ac:dyDescent="0.25">
      <c r="A665" s="20" t="s">
        <v>24</v>
      </c>
      <c r="B665" s="21" t="s">
        <v>25</v>
      </c>
      <c r="C665" s="21" t="s">
        <v>26</v>
      </c>
      <c r="D665" s="21" t="s">
        <v>27</v>
      </c>
      <c r="E665" s="22" t="s">
        <v>23</v>
      </c>
      <c r="F665" s="20" t="s">
        <v>27</v>
      </c>
      <c r="G665" s="20" t="s">
        <v>27</v>
      </c>
    </row>
    <row r="666" ht="22" customHeight="1" spans="1:7" x14ac:dyDescent="0.25">
      <c r="A666" s="16" t="s">
        <v>28</v>
      </c>
      <c r="B666" s="17" t="s">
        <v>43</v>
      </c>
      <c r="C666" s="17" t="s">
        <v>344</v>
      </c>
      <c r="D666" s="17" t="s">
        <v>45</v>
      </c>
      <c r="E666" s="18">
        <v>54.6</v>
      </c>
      <c r="F666" s="19" t="s">
        <v>22</v>
      </c>
      <c r="G666" s="16" t="s">
        <v>23</v>
      </c>
    </row>
    <row r="667" ht="20" customHeight="1" spans="1:7" x14ac:dyDescent="0.25">
      <c r="A667" s="20" t="s">
        <v>30</v>
      </c>
      <c r="B667" s="21" t="s">
        <v>25</v>
      </c>
      <c r="C667" s="21" t="s">
        <v>26</v>
      </c>
      <c r="D667" s="21" t="s">
        <v>27</v>
      </c>
      <c r="E667" s="22" t="s">
        <v>23</v>
      </c>
      <c r="F667" s="20" t="s">
        <v>27</v>
      </c>
      <c r="G667" s="20" t="s">
        <v>27</v>
      </c>
    </row>
    <row r="668" ht="22" customHeight="1" spans="1:7" x14ac:dyDescent="0.25">
      <c r="A668" s="16" t="s">
        <v>31</v>
      </c>
      <c r="B668" s="17" t="s">
        <v>63</v>
      </c>
      <c r="C668" s="17" t="s">
        <v>345</v>
      </c>
      <c r="D668" s="17" t="s">
        <v>65</v>
      </c>
      <c r="E668" s="18">
        <v>41.4</v>
      </c>
      <c r="F668" s="19" t="s">
        <v>22</v>
      </c>
      <c r="G668" s="16" t="s">
        <v>23</v>
      </c>
    </row>
    <row r="669" ht="20" customHeight="1" spans="1:7" x14ac:dyDescent="0.25">
      <c r="A669" s="20" t="s">
        <v>35</v>
      </c>
      <c r="B669" s="21" t="s">
        <v>25</v>
      </c>
      <c r="C669" s="21" t="s">
        <v>26</v>
      </c>
      <c r="D669" s="21" t="s">
        <v>27</v>
      </c>
      <c r="E669" s="22" t="s">
        <v>23</v>
      </c>
      <c r="F669" s="20" t="s">
        <v>27</v>
      </c>
      <c r="G669" s="20" t="s">
        <v>27</v>
      </c>
    </row>
    <row r="670" ht="22" customHeight="1" spans="1:7" x14ac:dyDescent="0.25">
      <c r="A670" s="16" t="s">
        <v>36</v>
      </c>
      <c r="B670" s="17" t="s">
        <v>63</v>
      </c>
      <c r="C670" s="17" t="s">
        <v>346</v>
      </c>
      <c r="D670" s="17" t="s">
        <v>65</v>
      </c>
      <c r="E670" s="18">
        <v>25.1</v>
      </c>
      <c r="F670" s="19" t="s">
        <v>22</v>
      </c>
      <c r="G670" s="16" t="s">
        <v>23</v>
      </c>
    </row>
    <row r="671" ht="24" customHeight="1" spans="1:7" x14ac:dyDescent="0.25">
      <c r="A671" s="23" t="s">
        <v>38</v>
      </c>
      <c r="B671" s="23" t="s">
        <v>39</v>
      </c>
      <c r="C671" s="24" t="s">
        <v>40</v>
      </c>
      <c r="D671" s="24" t="s">
        <v>41</v>
      </c>
      <c r="E671" s="25">
        <f>SUM(E664,E666,E668,E670)</f>
        <v>193.6</v>
      </c>
      <c r="F671" s="23" t="str">
        <f>ROUND(E671/60, 1) &amp; " Saat"</f>
        <v>3.2 Saat</v>
      </c>
      <c r="G671" s="23" t="str">
        <f>COUNTIF(G664:G670, "X") &amp; "/4"</f>
        <v>0/4</v>
      </c>
    </row>
    <row r="672" ht="22" customHeight="1" spans="1:7" x14ac:dyDescent="0.25">
      <c r="A672" s="15" t="s">
        <v>67</v>
      </c>
      <c r="B672" s="15"/>
      <c r="C672" s="15"/>
      <c r="D672" s="15"/>
      <c r="E672" s="15"/>
      <c r="F672" s="15"/>
      <c r="G672" s="15"/>
    </row>
    <row r="673" ht="22" customHeight="1" spans="1:7" x14ac:dyDescent="0.25">
      <c r="A673" s="16" t="s">
        <v>18</v>
      </c>
      <c r="B673" s="17" t="s">
        <v>68</v>
      </c>
      <c r="C673" s="17" t="s">
        <v>347</v>
      </c>
      <c r="D673" s="17" t="s">
        <v>70</v>
      </c>
      <c r="E673" s="18">
        <v>38.8</v>
      </c>
      <c r="F673" s="19" t="s">
        <v>22</v>
      </c>
      <c r="G673" s="16" t="s">
        <v>23</v>
      </c>
    </row>
    <row r="674" ht="20" customHeight="1" spans="1:7" x14ac:dyDescent="0.25">
      <c r="A674" s="20" t="s">
        <v>24</v>
      </c>
      <c r="B674" s="21" t="s">
        <v>25</v>
      </c>
      <c r="C674" s="21" t="s">
        <v>26</v>
      </c>
      <c r="D674" s="21" t="s">
        <v>27</v>
      </c>
      <c r="E674" s="22" t="s">
        <v>23</v>
      </c>
      <c r="F674" s="20" t="s">
        <v>27</v>
      </c>
      <c r="G674" s="20" t="s">
        <v>27</v>
      </c>
    </row>
    <row r="675" ht="22" customHeight="1" spans="1:7" x14ac:dyDescent="0.25">
      <c r="A675" s="16" t="s">
        <v>28</v>
      </c>
      <c r="B675" s="17" t="s">
        <v>68</v>
      </c>
      <c r="C675" s="17" t="s">
        <v>348</v>
      </c>
      <c r="D675" s="17" t="s">
        <v>70</v>
      </c>
      <c r="E675" s="18">
        <v>48.9</v>
      </c>
      <c r="F675" s="19" t="s">
        <v>22</v>
      </c>
      <c r="G675" s="16" t="s">
        <v>23</v>
      </c>
    </row>
    <row r="676" ht="20" customHeight="1" spans="1:7" x14ac:dyDescent="0.25">
      <c r="A676" s="20" t="s">
        <v>30</v>
      </c>
      <c r="B676" s="21" t="s">
        <v>25</v>
      </c>
      <c r="C676" s="21" t="s">
        <v>26</v>
      </c>
      <c r="D676" s="21" t="s">
        <v>27</v>
      </c>
      <c r="E676" s="22" t="s">
        <v>23</v>
      </c>
      <c r="F676" s="20" t="s">
        <v>27</v>
      </c>
      <c r="G676" s="20" t="s">
        <v>27</v>
      </c>
    </row>
    <row r="677" ht="22" customHeight="1" spans="1:7" x14ac:dyDescent="0.25">
      <c r="A677" s="16" t="s">
        <v>31</v>
      </c>
      <c r="B677" s="17" t="s">
        <v>56</v>
      </c>
      <c r="C677" s="17" t="s">
        <v>349</v>
      </c>
      <c r="D677" s="17" t="s">
        <v>58</v>
      </c>
      <c r="E677" s="18">
        <v>50.3</v>
      </c>
      <c r="F677" s="19" t="s">
        <v>22</v>
      </c>
      <c r="G677" s="16" t="s">
        <v>23</v>
      </c>
    </row>
    <row r="678" ht="20" customHeight="1" spans="1:7" x14ac:dyDescent="0.25">
      <c r="A678" s="20" t="s">
        <v>35</v>
      </c>
      <c r="B678" s="21" t="s">
        <v>25</v>
      </c>
      <c r="C678" s="21" t="s">
        <v>26</v>
      </c>
      <c r="D678" s="21" t="s">
        <v>27</v>
      </c>
      <c r="E678" s="22" t="s">
        <v>23</v>
      </c>
      <c r="F678" s="20" t="s">
        <v>27</v>
      </c>
      <c r="G678" s="20" t="s">
        <v>27</v>
      </c>
    </row>
    <row r="679" ht="22" customHeight="1" spans="1:7" x14ac:dyDescent="0.25">
      <c r="A679" s="16" t="s">
        <v>36</v>
      </c>
      <c r="B679" s="17" t="s">
        <v>56</v>
      </c>
      <c r="C679" s="17" t="s">
        <v>350</v>
      </c>
      <c r="D679" s="17" t="s">
        <v>58</v>
      </c>
      <c r="E679" s="18">
        <v>22.9</v>
      </c>
      <c r="F679" s="19" t="s">
        <v>22</v>
      </c>
      <c r="G679" s="16" t="s">
        <v>23</v>
      </c>
    </row>
    <row r="680" ht="24" customHeight="1" spans="1:7" x14ac:dyDescent="0.25">
      <c r="A680" s="23" t="s">
        <v>38</v>
      </c>
      <c r="B680" s="23" t="s">
        <v>39</v>
      </c>
      <c r="C680" s="24" t="s">
        <v>40</v>
      </c>
      <c r="D680" s="24" t="s">
        <v>41</v>
      </c>
      <c r="E680" s="25">
        <f>SUM(E673,E675,E677,E679)</f>
        <v>160.9</v>
      </c>
      <c r="F680" s="23" t="str">
        <f>ROUND(E680/60, 1) &amp; " Saat"</f>
        <v>2.7 Saat</v>
      </c>
      <c r="G680" s="23" t="str">
        <f>COUNTIF(G673:G679, "X") &amp; "/4"</f>
        <v>0/4</v>
      </c>
    </row>
    <row r="681" ht="22" customHeight="1" spans="1:7" x14ac:dyDescent="0.25">
      <c r="A681" s="15" t="s">
        <v>74</v>
      </c>
      <c r="B681" s="15"/>
      <c r="C681" s="15"/>
      <c r="D681" s="15"/>
      <c r="E681" s="15"/>
      <c r="F681" s="15"/>
      <c r="G681" s="15"/>
    </row>
    <row r="682" ht="22" customHeight="1" spans="1:7" x14ac:dyDescent="0.25">
      <c r="A682" s="16" t="s">
        <v>18</v>
      </c>
      <c r="B682" s="17" t="s">
        <v>47</v>
      </c>
      <c r="C682" s="17" t="s">
        <v>351</v>
      </c>
      <c r="D682" s="17" t="s">
        <v>49</v>
      </c>
      <c r="E682" s="18">
        <v>32.6</v>
      </c>
      <c r="F682" s="19" t="s">
        <v>22</v>
      </c>
      <c r="G682" s="16" t="s">
        <v>23</v>
      </c>
    </row>
    <row r="683" ht="20" customHeight="1" spans="1:7" x14ac:dyDescent="0.25">
      <c r="A683" s="20" t="s">
        <v>24</v>
      </c>
      <c r="B683" s="21" t="s">
        <v>25</v>
      </c>
      <c r="C683" s="21" t="s">
        <v>26</v>
      </c>
      <c r="D683" s="21" t="s">
        <v>27</v>
      </c>
      <c r="E683" s="22" t="s">
        <v>23</v>
      </c>
      <c r="F683" s="20" t="s">
        <v>27</v>
      </c>
      <c r="G683" s="20" t="s">
        <v>27</v>
      </c>
    </row>
    <row r="684" ht="22" customHeight="1" spans="1:7" x14ac:dyDescent="0.25">
      <c r="A684" s="16" t="s">
        <v>28</v>
      </c>
      <c r="B684" s="17" t="s">
        <v>47</v>
      </c>
      <c r="C684" s="17" t="s">
        <v>352</v>
      </c>
      <c r="D684" s="17" t="s">
        <v>49</v>
      </c>
      <c r="E684" s="18">
        <v>38.2</v>
      </c>
      <c r="F684" s="19" t="s">
        <v>22</v>
      </c>
      <c r="G684" s="16" t="s">
        <v>23</v>
      </c>
    </row>
    <row r="685" ht="20" customHeight="1" spans="1:7" x14ac:dyDescent="0.25">
      <c r="A685" s="20" t="s">
        <v>30</v>
      </c>
      <c r="B685" s="21" t="s">
        <v>25</v>
      </c>
      <c r="C685" s="21" t="s">
        <v>26</v>
      </c>
      <c r="D685" s="21" t="s">
        <v>27</v>
      </c>
      <c r="E685" s="22" t="s">
        <v>23</v>
      </c>
      <c r="F685" s="20" t="s">
        <v>27</v>
      </c>
      <c r="G685" s="20" t="s">
        <v>27</v>
      </c>
    </row>
    <row r="686" ht="22" customHeight="1" spans="1:7" x14ac:dyDescent="0.25">
      <c r="A686" s="16" t="s">
        <v>31</v>
      </c>
      <c r="B686" s="17" t="s">
        <v>52</v>
      </c>
      <c r="C686" s="17" t="s">
        <v>353</v>
      </c>
      <c r="D686" s="17" t="s">
        <v>54</v>
      </c>
      <c r="E686" s="18">
        <v>14.2</v>
      </c>
      <c r="F686" s="19" t="s">
        <v>22</v>
      </c>
      <c r="G686" s="16" t="s">
        <v>23</v>
      </c>
    </row>
    <row r="687" ht="20" customHeight="1" spans="1:7" x14ac:dyDescent="0.25">
      <c r="A687" s="20" t="s">
        <v>35</v>
      </c>
      <c r="B687" s="21" t="s">
        <v>25</v>
      </c>
      <c r="C687" s="21" t="s">
        <v>26</v>
      </c>
      <c r="D687" s="21" t="s">
        <v>27</v>
      </c>
      <c r="E687" s="22" t="s">
        <v>23</v>
      </c>
      <c r="F687" s="20" t="s">
        <v>27</v>
      </c>
      <c r="G687" s="20" t="s">
        <v>27</v>
      </c>
    </row>
    <row r="688" ht="22" customHeight="1" spans="1:7" x14ac:dyDescent="0.25">
      <c r="A688" s="16" t="s">
        <v>36</v>
      </c>
      <c r="B688" s="17" t="s">
        <v>52</v>
      </c>
      <c r="C688" s="17" t="s">
        <v>354</v>
      </c>
      <c r="D688" s="17" t="s">
        <v>54</v>
      </c>
      <c r="E688" s="18">
        <v>26.6</v>
      </c>
      <c r="F688" s="19" t="s">
        <v>22</v>
      </c>
      <c r="G688" s="16" t="s">
        <v>23</v>
      </c>
    </row>
    <row r="689" ht="24" customHeight="1" spans="1:7" x14ac:dyDescent="0.25">
      <c r="A689" s="23" t="s">
        <v>38</v>
      </c>
      <c r="B689" s="23" t="s">
        <v>39</v>
      </c>
      <c r="C689" s="24" t="s">
        <v>40</v>
      </c>
      <c r="D689" s="24" t="s">
        <v>41</v>
      </c>
      <c r="E689" s="25">
        <f>SUM(E682,E684,E686,E688)</f>
        <v>111.6</v>
      </c>
      <c r="F689" s="23" t="str">
        <f>ROUND(E689/60, 1) &amp; " Saat"</f>
        <v>1.9 Saat</v>
      </c>
      <c r="G689" s="23" t="str">
        <f>COUNTIF(G682:G688, "X") &amp; "/4"</f>
        <v>0/4</v>
      </c>
    </row>
    <row r="690" ht="28" customHeight="1" spans="1:7" x14ac:dyDescent="0.25">
      <c r="A690" s="26" t="s">
        <v>79</v>
      </c>
      <c r="B690" s="26"/>
      <c r="C690" s="26"/>
      <c r="D690" s="26"/>
      <c r="E690" s="26"/>
      <c r="F690" s="26"/>
      <c r="G690" s="26"/>
    </row>
    <row r="691" ht="8" customHeight="1" x14ac:dyDescent="0.25"/>
    <row r="692" ht="25" customHeight="1" spans="1:7" x14ac:dyDescent="0.25">
      <c r="A692" s="14" t="s">
        <v>355</v>
      </c>
      <c r="B692" s="14"/>
      <c r="C692" s="14"/>
      <c r="D692" s="14"/>
      <c r="E692" s="14"/>
      <c r="F692" s="14"/>
      <c r="G692" s="14"/>
    </row>
    <row r="693" ht="22" customHeight="1" spans="1:7" x14ac:dyDescent="0.25">
      <c r="A693" s="15" t="s">
        <v>17</v>
      </c>
      <c r="B693" s="15"/>
      <c r="C693" s="15"/>
      <c r="D693" s="15"/>
      <c r="E693" s="15"/>
      <c r="F693" s="15"/>
      <c r="G693" s="15"/>
    </row>
    <row r="694" ht="22" customHeight="1" spans="1:7" x14ac:dyDescent="0.25">
      <c r="A694" s="16" t="s">
        <v>18</v>
      </c>
      <c r="B694" s="17" t="s">
        <v>19</v>
      </c>
      <c r="C694" s="17" t="s">
        <v>356</v>
      </c>
      <c r="D694" s="17" t="s">
        <v>21</v>
      </c>
      <c r="E694" s="18">
        <v>15</v>
      </c>
      <c r="F694" s="19" t="s">
        <v>22</v>
      </c>
      <c r="G694" s="16" t="s">
        <v>23</v>
      </c>
    </row>
    <row r="695" ht="20" customHeight="1" spans="1:7" x14ac:dyDescent="0.25">
      <c r="A695" s="20" t="s">
        <v>24</v>
      </c>
      <c r="B695" s="21" t="s">
        <v>25</v>
      </c>
      <c r="C695" s="21" t="s">
        <v>26</v>
      </c>
      <c r="D695" s="21" t="s">
        <v>27</v>
      </c>
      <c r="E695" s="22" t="s">
        <v>23</v>
      </c>
      <c r="F695" s="20" t="s">
        <v>27</v>
      </c>
      <c r="G695" s="20" t="s">
        <v>27</v>
      </c>
    </row>
    <row r="696" ht="22" customHeight="1" spans="1:7" x14ac:dyDescent="0.25">
      <c r="A696" s="16" t="s">
        <v>28</v>
      </c>
      <c r="B696" s="17" t="s">
        <v>19</v>
      </c>
      <c r="C696" s="17" t="s">
        <v>357</v>
      </c>
      <c r="D696" s="17" t="s">
        <v>21</v>
      </c>
      <c r="E696" s="18">
        <v>12.3</v>
      </c>
      <c r="F696" s="19" t="s">
        <v>22</v>
      </c>
      <c r="G696" s="16" t="s">
        <v>23</v>
      </c>
    </row>
    <row r="697" ht="20" customHeight="1" spans="1:7" x14ac:dyDescent="0.25">
      <c r="A697" s="20" t="s">
        <v>30</v>
      </c>
      <c r="B697" s="21" t="s">
        <v>25</v>
      </c>
      <c r="C697" s="21" t="s">
        <v>26</v>
      </c>
      <c r="D697" s="21" t="s">
        <v>27</v>
      </c>
      <c r="E697" s="22" t="s">
        <v>23</v>
      </c>
      <c r="F697" s="20" t="s">
        <v>27</v>
      </c>
      <c r="G697" s="20" t="s">
        <v>27</v>
      </c>
    </row>
    <row r="698" ht="22" customHeight="1" spans="1:7" x14ac:dyDescent="0.25">
      <c r="A698" s="16" t="s">
        <v>31</v>
      </c>
      <c r="B698" s="17" t="s">
        <v>32</v>
      </c>
      <c r="C698" s="17" t="s">
        <v>358</v>
      </c>
      <c r="D698" s="17" t="s">
        <v>34</v>
      </c>
      <c r="E698" s="18">
        <v>22.2</v>
      </c>
      <c r="F698" s="19" t="s">
        <v>22</v>
      </c>
      <c r="G698" s="16" t="s">
        <v>23</v>
      </c>
    </row>
    <row r="699" ht="20" customHeight="1" spans="1:7" x14ac:dyDescent="0.25">
      <c r="A699" s="20" t="s">
        <v>35</v>
      </c>
      <c r="B699" s="21" t="s">
        <v>25</v>
      </c>
      <c r="C699" s="21" t="s">
        <v>26</v>
      </c>
      <c r="D699" s="21" t="s">
        <v>27</v>
      </c>
      <c r="E699" s="22" t="s">
        <v>23</v>
      </c>
      <c r="F699" s="20" t="s">
        <v>27</v>
      </c>
      <c r="G699" s="20" t="s">
        <v>27</v>
      </c>
    </row>
    <row r="700" ht="22" customHeight="1" spans="1:7" x14ac:dyDescent="0.25">
      <c r="A700" s="16" t="s">
        <v>36</v>
      </c>
      <c r="B700" s="17" t="s">
        <v>32</v>
      </c>
      <c r="C700" s="17" t="s">
        <v>359</v>
      </c>
      <c r="D700" s="17" t="s">
        <v>34</v>
      </c>
      <c r="E700" s="18">
        <v>16.9</v>
      </c>
      <c r="F700" s="19" t="s">
        <v>22</v>
      </c>
      <c r="G700" s="16" t="s">
        <v>23</v>
      </c>
    </row>
    <row r="701" ht="24" customHeight="1" spans="1:7" x14ac:dyDescent="0.25">
      <c r="A701" s="23" t="s">
        <v>38</v>
      </c>
      <c r="B701" s="23" t="s">
        <v>39</v>
      </c>
      <c r="C701" s="24" t="s">
        <v>40</v>
      </c>
      <c r="D701" s="24" t="s">
        <v>41</v>
      </c>
      <c r="E701" s="25">
        <f>SUM(E694,E696,E698,E700)</f>
        <v>66.4</v>
      </c>
      <c r="F701" s="23" t="str">
        <f>ROUND(E701/60, 1) &amp; " Saat"</f>
        <v>1.1 Saat</v>
      </c>
      <c r="G701" s="23" t="str">
        <f>COUNTIF(G694:G700, "X") &amp; "/4"</f>
        <v>0/4</v>
      </c>
    </row>
    <row r="702" ht="22" customHeight="1" spans="1:7" x14ac:dyDescent="0.25">
      <c r="A702" s="15" t="s">
        <v>42</v>
      </c>
      <c r="B702" s="15"/>
      <c r="C702" s="15"/>
      <c r="D702" s="15"/>
      <c r="E702" s="15"/>
      <c r="F702" s="15"/>
      <c r="G702" s="15"/>
    </row>
    <row r="703" ht="22" customHeight="1" spans="1:7" x14ac:dyDescent="0.25">
      <c r="A703" s="16" t="s">
        <v>18</v>
      </c>
      <c r="B703" s="17" t="s">
        <v>43</v>
      </c>
      <c r="C703" s="17" t="s">
        <v>360</v>
      </c>
      <c r="D703" s="17" t="s">
        <v>45</v>
      </c>
      <c r="E703" s="18">
        <v>60.5</v>
      </c>
      <c r="F703" s="19" t="s">
        <v>22</v>
      </c>
      <c r="G703" s="16" t="s">
        <v>23</v>
      </c>
    </row>
    <row r="704" ht="20" customHeight="1" spans="1:7" x14ac:dyDescent="0.25">
      <c r="A704" s="20" t="s">
        <v>24</v>
      </c>
      <c r="B704" s="21" t="s">
        <v>25</v>
      </c>
      <c r="C704" s="21" t="s">
        <v>26</v>
      </c>
      <c r="D704" s="21" t="s">
        <v>27</v>
      </c>
      <c r="E704" s="22" t="s">
        <v>23</v>
      </c>
      <c r="F704" s="20" t="s">
        <v>27</v>
      </c>
      <c r="G704" s="20" t="s">
        <v>27</v>
      </c>
    </row>
    <row r="705" ht="22" customHeight="1" spans="1:7" x14ac:dyDescent="0.25">
      <c r="A705" s="16" t="s">
        <v>28</v>
      </c>
      <c r="B705" s="17" t="s">
        <v>43</v>
      </c>
      <c r="C705" s="17" t="s">
        <v>361</v>
      </c>
      <c r="D705" s="17" t="s">
        <v>45</v>
      </c>
      <c r="E705" s="18">
        <v>55</v>
      </c>
      <c r="F705" s="19" t="s">
        <v>22</v>
      </c>
      <c r="G705" s="16" t="s">
        <v>23</v>
      </c>
    </row>
    <row r="706" ht="20" customHeight="1" spans="1:7" x14ac:dyDescent="0.25">
      <c r="A706" s="20" t="s">
        <v>30</v>
      </c>
      <c r="B706" s="21" t="s">
        <v>25</v>
      </c>
      <c r="C706" s="21" t="s">
        <v>26</v>
      </c>
      <c r="D706" s="21" t="s">
        <v>27</v>
      </c>
      <c r="E706" s="22" t="s">
        <v>23</v>
      </c>
      <c r="F706" s="20" t="s">
        <v>27</v>
      </c>
      <c r="G706" s="20" t="s">
        <v>27</v>
      </c>
    </row>
    <row r="707" ht="22" customHeight="1" spans="1:7" x14ac:dyDescent="0.25">
      <c r="A707" s="16" t="s">
        <v>31</v>
      </c>
      <c r="B707" s="17" t="s">
        <v>47</v>
      </c>
      <c r="C707" s="17" t="s">
        <v>362</v>
      </c>
      <c r="D707" s="17" t="s">
        <v>49</v>
      </c>
      <c r="E707" s="18">
        <v>34.9</v>
      </c>
      <c r="F707" s="19" t="s">
        <v>22</v>
      </c>
      <c r="G707" s="16" t="s">
        <v>23</v>
      </c>
    </row>
    <row r="708" ht="20" customHeight="1" spans="1:7" x14ac:dyDescent="0.25">
      <c r="A708" s="20" t="s">
        <v>35</v>
      </c>
      <c r="B708" s="21" t="s">
        <v>25</v>
      </c>
      <c r="C708" s="21" t="s">
        <v>26</v>
      </c>
      <c r="D708" s="21" t="s">
        <v>27</v>
      </c>
      <c r="E708" s="22" t="s">
        <v>23</v>
      </c>
      <c r="F708" s="20" t="s">
        <v>27</v>
      </c>
      <c r="G708" s="20" t="s">
        <v>27</v>
      </c>
    </row>
    <row r="709" ht="22" customHeight="1" spans="1:7" x14ac:dyDescent="0.25">
      <c r="A709" s="16" t="s">
        <v>36</v>
      </c>
      <c r="B709" s="17" t="s">
        <v>47</v>
      </c>
      <c r="C709" s="17" t="s">
        <v>363</v>
      </c>
      <c r="D709" s="17" t="s">
        <v>49</v>
      </c>
      <c r="E709" s="18">
        <v>30.1</v>
      </c>
      <c r="F709" s="19" t="s">
        <v>22</v>
      </c>
      <c r="G709" s="16" t="s">
        <v>23</v>
      </c>
    </row>
    <row r="710" ht="24" customHeight="1" spans="1:7" x14ac:dyDescent="0.25">
      <c r="A710" s="23" t="s">
        <v>38</v>
      </c>
      <c r="B710" s="23" t="s">
        <v>39</v>
      </c>
      <c r="C710" s="24" t="s">
        <v>40</v>
      </c>
      <c r="D710" s="24" t="s">
        <v>41</v>
      </c>
      <c r="E710" s="25">
        <f>SUM(E703,E705,E707,E709)</f>
        <v>180.5</v>
      </c>
      <c r="F710" s="23" t="str">
        <f>ROUND(E710/60, 1) &amp; " Saat"</f>
        <v>3.0 Saat</v>
      </c>
      <c r="G710" s="23" t="str">
        <f>COUNTIF(G703:G709, "X") &amp; "/4"</f>
        <v>0/4</v>
      </c>
    </row>
    <row r="711" ht="22" customHeight="1" spans="1:7" x14ac:dyDescent="0.25">
      <c r="A711" s="15" t="s">
        <v>51</v>
      </c>
      <c r="B711" s="15"/>
      <c r="C711" s="15"/>
      <c r="D711" s="15"/>
      <c r="E711" s="15"/>
      <c r="F711" s="15"/>
      <c r="G711" s="15"/>
    </row>
    <row r="712" ht="22" customHeight="1" spans="1:7" x14ac:dyDescent="0.25">
      <c r="A712" s="16" t="s">
        <v>18</v>
      </c>
      <c r="B712" s="17" t="s">
        <v>52</v>
      </c>
      <c r="C712" s="17" t="s">
        <v>364</v>
      </c>
      <c r="D712" s="17" t="s">
        <v>54</v>
      </c>
      <c r="E712" s="18">
        <v>17.3</v>
      </c>
      <c r="F712" s="19" t="s">
        <v>22</v>
      </c>
      <c r="G712" s="16" t="s">
        <v>23</v>
      </c>
    </row>
    <row r="713" ht="20" customHeight="1" spans="1:7" x14ac:dyDescent="0.25">
      <c r="A713" s="20" t="s">
        <v>24</v>
      </c>
      <c r="B713" s="21" t="s">
        <v>25</v>
      </c>
      <c r="C713" s="21" t="s">
        <v>26</v>
      </c>
      <c r="D713" s="21" t="s">
        <v>27</v>
      </c>
      <c r="E713" s="22" t="s">
        <v>23</v>
      </c>
      <c r="F713" s="20" t="s">
        <v>27</v>
      </c>
      <c r="G713" s="20" t="s">
        <v>27</v>
      </c>
    </row>
    <row r="714" ht="22" customHeight="1" spans="1:7" x14ac:dyDescent="0.25">
      <c r="A714" s="16" t="s">
        <v>28</v>
      </c>
      <c r="B714" s="17" t="s">
        <v>52</v>
      </c>
      <c r="C714" s="17" t="s">
        <v>365</v>
      </c>
      <c r="D714" s="17" t="s">
        <v>54</v>
      </c>
      <c r="E714" s="18">
        <v>36.4</v>
      </c>
      <c r="F714" s="19" t="s">
        <v>22</v>
      </c>
      <c r="G714" s="16" t="s">
        <v>23</v>
      </c>
    </row>
    <row r="715" ht="20" customHeight="1" spans="1:7" x14ac:dyDescent="0.25">
      <c r="A715" s="20" t="s">
        <v>30</v>
      </c>
      <c r="B715" s="21" t="s">
        <v>25</v>
      </c>
      <c r="C715" s="21" t="s">
        <v>26</v>
      </c>
      <c r="D715" s="21" t="s">
        <v>27</v>
      </c>
      <c r="E715" s="22" t="s">
        <v>23</v>
      </c>
      <c r="F715" s="20" t="s">
        <v>27</v>
      </c>
      <c r="G715" s="20" t="s">
        <v>27</v>
      </c>
    </row>
    <row r="716" ht="22" customHeight="1" spans="1:7" x14ac:dyDescent="0.25">
      <c r="A716" s="16" t="s">
        <v>31</v>
      </c>
      <c r="B716" s="17" t="s">
        <v>56</v>
      </c>
      <c r="C716" s="17" t="s">
        <v>366</v>
      </c>
      <c r="D716" s="17" t="s">
        <v>58</v>
      </c>
      <c r="E716" s="18">
        <v>17.7</v>
      </c>
      <c r="F716" s="19" t="s">
        <v>22</v>
      </c>
      <c r="G716" s="16" t="s">
        <v>23</v>
      </c>
    </row>
    <row r="717" ht="20" customHeight="1" spans="1:7" x14ac:dyDescent="0.25">
      <c r="A717" s="20" t="s">
        <v>35</v>
      </c>
      <c r="B717" s="21" t="s">
        <v>25</v>
      </c>
      <c r="C717" s="21" t="s">
        <v>26</v>
      </c>
      <c r="D717" s="21" t="s">
        <v>27</v>
      </c>
      <c r="E717" s="22" t="s">
        <v>23</v>
      </c>
      <c r="F717" s="20" t="s">
        <v>27</v>
      </c>
      <c r="G717" s="20" t="s">
        <v>27</v>
      </c>
    </row>
    <row r="718" ht="22" customHeight="1" spans="1:7" x14ac:dyDescent="0.25">
      <c r="A718" s="16" t="s">
        <v>36</v>
      </c>
      <c r="B718" s="17" t="s">
        <v>56</v>
      </c>
      <c r="C718" s="17" t="s">
        <v>367</v>
      </c>
      <c r="D718" s="17" t="s">
        <v>58</v>
      </c>
      <c r="E718" s="18">
        <v>25.9</v>
      </c>
      <c r="F718" s="19" t="s">
        <v>22</v>
      </c>
      <c r="G718" s="16" t="s">
        <v>23</v>
      </c>
    </row>
    <row r="719" ht="24" customHeight="1" spans="1:7" x14ac:dyDescent="0.25">
      <c r="A719" s="23" t="s">
        <v>38</v>
      </c>
      <c r="B719" s="23" t="s">
        <v>39</v>
      </c>
      <c r="C719" s="24" t="s">
        <v>40</v>
      </c>
      <c r="D719" s="24" t="s">
        <v>41</v>
      </c>
      <c r="E719" s="25">
        <f>SUM(E712,E714,E716,E718)</f>
        <v>97.3</v>
      </c>
      <c r="F719" s="23" t="str">
        <f>ROUND(E719/60, 1) &amp; " Saat"</f>
        <v>1.6 Saat</v>
      </c>
      <c r="G719" s="23" t="str">
        <f>COUNTIF(G712:G718, "X") &amp; "/4"</f>
        <v>0/4</v>
      </c>
    </row>
    <row r="720" ht="22" customHeight="1" spans="1:7" x14ac:dyDescent="0.25">
      <c r="A720" s="15" t="s">
        <v>60</v>
      </c>
      <c r="B720" s="15"/>
      <c r="C720" s="15"/>
      <c r="D720" s="15"/>
      <c r="E720" s="15"/>
      <c r="F720" s="15"/>
      <c r="G720" s="15"/>
    </row>
    <row r="721" ht="22" customHeight="1" spans="1:7" x14ac:dyDescent="0.25">
      <c r="A721" s="16" t="s">
        <v>18</v>
      </c>
      <c r="B721" s="17" t="s">
        <v>43</v>
      </c>
      <c r="C721" s="17" t="s">
        <v>368</v>
      </c>
      <c r="D721" s="17" t="s">
        <v>45</v>
      </c>
      <c r="E721" s="18">
        <v>46</v>
      </c>
      <c r="F721" s="19" t="s">
        <v>22</v>
      </c>
      <c r="G721" s="16" t="s">
        <v>23</v>
      </c>
    </row>
    <row r="722" ht="20" customHeight="1" spans="1:7" x14ac:dyDescent="0.25">
      <c r="A722" s="20" t="s">
        <v>24</v>
      </c>
      <c r="B722" s="21" t="s">
        <v>25</v>
      </c>
      <c r="C722" s="21" t="s">
        <v>26</v>
      </c>
      <c r="D722" s="21" t="s">
        <v>27</v>
      </c>
      <c r="E722" s="22" t="s">
        <v>23</v>
      </c>
      <c r="F722" s="20" t="s">
        <v>27</v>
      </c>
      <c r="G722" s="20" t="s">
        <v>27</v>
      </c>
    </row>
    <row r="723" ht="22" customHeight="1" spans="1:7" x14ac:dyDescent="0.25">
      <c r="A723" s="16" t="s">
        <v>28</v>
      </c>
      <c r="B723" s="17" t="s">
        <v>43</v>
      </c>
      <c r="C723" s="17" t="s">
        <v>369</v>
      </c>
      <c r="D723" s="17" t="s">
        <v>45</v>
      </c>
      <c r="E723" s="18">
        <v>51.8</v>
      </c>
      <c r="F723" s="19" t="s">
        <v>22</v>
      </c>
      <c r="G723" s="16" t="s">
        <v>23</v>
      </c>
    </row>
    <row r="724" ht="20" customHeight="1" spans="1:7" x14ac:dyDescent="0.25">
      <c r="A724" s="20" t="s">
        <v>30</v>
      </c>
      <c r="B724" s="21" t="s">
        <v>25</v>
      </c>
      <c r="C724" s="21" t="s">
        <v>26</v>
      </c>
      <c r="D724" s="21" t="s">
        <v>27</v>
      </c>
      <c r="E724" s="22" t="s">
        <v>23</v>
      </c>
      <c r="F724" s="20" t="s">
        <v>27</v>
      </c>
      <c r="G724" s="20" t="s">
        <v>27</v>
      </c>
    </row>
    <row r="725" ht="22" customHeight="1" spans="1:7" x14ac:dyDescent="0.25">
      <c r="A725" s="16" t="s">
        <v>31</v>
      </c>
      <c r="B725" s="17" t="s">
        <v>63</v>
      </c>
      <c r="C725" s="17" t="s">
        <v>370</v>
      </c>
      <c r="D725" s="17" t="s">
        <v>65</v>
      </c>
      <c r="E725" s="18">
        <v>28.4</v>
      </c>
      <c r="F725" s="19" t="s">
        <v>22</v>
      </c>
      <c r="G725" s="16" t="s">
        <v>23</v>
      </c>
    </row>
    <row r="726" ht="20" customHeight="1" spans="1:7" x14ac:dyDescent="0.25">
      <c r="A726" s="20" t="s">
        <v>35</v>
      </c>
      <c r="B726" s="21" t="s">
        <v>25</v>
      </c>
      <c r="C726" s="21" t="s">
        <v>26</v>
      </c>
      <c r="D726" s="21" t="s">
        <v>27</v>
      </c>
      <c r="E726" s="22" t="s">
        <v>23</v>
      </c>
      <c r="F726" s="20" t="s">
        <v>27</v>
      </c>
      <c r="G726" s="20" t="s">
        <v>27</v>
      </c>
    </row>
    <row r="727" ht="22" customHeight="1" spans="1:7" x14ac:dyDescent="0.25">
      <c r="A727" s="16" t="s">
        <v>36</v>
      </c>
      <c r="B727" s="17" t="s">
        <v>63</v>
      </c>
      <c r="C727" s="17" t="s">
        <v>371</v>
      </c>
      <c r="D727" s="17" t="s">
        <v>65</v>
      </c>
      <c r="E727" s="18">
        <v>21.1</v>
      </c>
      <c r="F727" s="19" t="s">
        <v>22</v>
      </c>
      <c r="G727" s="16" t="s">
        <v>23</v>
      </c>
    </row>
    <row r="728" ht="24" customHeight="1" spans="1:7" x14ac:dyDescent="0.25">
      <c r="A728" s="23" t="s">
        <v>38</v>
      </c>
      <c r="B728" s="23" t="s">
        <v>39</v>
      </c>
      <c r="C728" s="24" t="s">
        <v>40</v>
      </c>
      <c r="D728" s="24" t="s">
        <v>41</v>
      </c>
      <c r="E728" s="25">
        <f>SUM(E721,E723,E725,E727)</f>
        <v>147.3</v>
      </c>
      <c r="F728" s="23" t="str">
        <f>ROUND(E728/60, 1) &amp; " Saat"</f>
        <v>2.5 Saat</v>
      </c>
      <c r="G728" s="23" t="str">
        <f>COUNTIF(G721:G727, "X") &amp; "/4"</f>
        <v>0/4</v>
      </c>
    </row>
    <row r="729" ht="22" customHeight="1" spans="1:7" x14ac:dyDescent="0.25">
      <c r="A729" s="15" t="s">
        <v>67</v>
      </c>
      <c r="B729" s="15"/>
      <c r="C729" s="15"/>
      <c r="D729" s="15"/>
      <c r="E729" s="15"/>
      <c r="F729" s="15"/>
      <c r="G729" s="15"/>
    </row>
    <row r="730" ht="22" customHeight="1" spans="1:7" x14ac:dyDescent="0.25">
      <c r="A730" s="16" t="s">
        <v>18</v>
      </c>
      <c r="B730" s="17" t="s">
        <v>68</v>
      </c>
      <c r="C730" s="17" t="s">
        <v>372</v>
      </c>
      <c r="D730" s="17" t="s">
        <v>70</v>
      </c>
      <c r="E730" s="18">
        <v>34.1</v>
      </c>
      <c r="F730" s="19" t="s">
        <v>22</v>
      </c>
      <c r="G730" s="16" t="s">
        <v>23</v>
      </c>
    </row>
    <row r="731" ht="20" customHeight="1" spans="1:7" x14ac:dyDescent="0.25">
      <c r="A731" s="20" t="s">
        <v>24</v>
      </c>
      <c r="B731" s="21" t="s">
        <v>25</v>
      </c>
      <c r="C731" s="21" t="s">
        <v>26</v>
      </c>
      <c r="D731" s="21" t="s">
        <v>27</v>
      </c>
      <c r="E731" s="22" t="s">
        <v>23</v>
      </c>
      <c r="F731" s="20" t="s">
        <v>27</v>
      </c>
      <c r="G731" s="20" t="s">
        <v>27</v>
      </c>
    </row>
    <row r="732" ht="22" customHeight="1" spans="1:7" x14ac:dyDescent="0.25">
      <c r="A732" s="16" t="s">
        <v>28</v>
      </c>
      <c r="B732" s="17" t="s">
        <v>68</v>
      </c>
      <c r="C732" s="17" t="s">
        <v>373</v>
      </c>
      <c r="D732" s="17" t="s">
        <v>70</v>
      </c>
      <c r="E732" s="18">
        <v>44.8</v>
      </c>
      <c r="F732" s="19" t="s">
        <v>22</v>
      </c>
      <c r="G732" s="16" t="s">
        <v>23</v>
      </c>
    </row>
    <row r="733" ht="20" customHeight="1" spans="1:7" x14ac:dyDescent="0.25">
      <c r="A733" s="20" t="s">
        <v>30</v>
      </c>
      <c r="B733" s="21" t="s">
        <v>25</v>
      </c>
      <c r="C733" s="21" t="s">
        <v>26</v>
      </c>
      <c r="D733" s="21" t="s">
        <v>27</v>
      </c>
      <c r="E733" s="22" t="s">
        <v>23</v>
      </c>
      <c r="F733" s="20" t="s">
        <v>27</v>
      </c>
      <c r="G733" s="20" t="s">
        <v>27</v>
      </c>
    </row>
    <row r="734" ht="22" customHeight="1" spans="1:7" x14ac:dyDescent="0.25">
      <c r="A734" s="16" t="s">
        <v>31</v>
      </c>
      <c r="B734" s="17" t="s">
        <v>56</v>
      </c>
      <c r="C734" s="17" t="s">
        <v>374</v>
      </c>
      <c r="D734" s="17" t="s">
        <v>58</v>
      </c>
      <c r="E734" s="18">
        <v>23.2</v>
      </c>
      <c r="F734" s="19" t="s">
        <v>22</v>
      </c>
      <c r="G734" s="16" t="s">
        <v>23</v>
      </c>
    </row>
    <row r="735" ht="20" customHeight="1" spans="1:7" x14ac:dyDescent="0.25">
      <c r="A735" s="20" t="s">
        <v>35</v>
      </c>
      <c r="B735" s="21" t="s">
        <v>25</v>
      </c>
      <c r="C735" s="21" t="s">
        <v>26</v>
      </c>
      <c r="D735" s="21" t="s">
        <v>27</v>
      </c>
      <c r="E735" s="22" t="s">
        <v>23</v>
      </c>
      <c r="F735" s="20" t="s">
        <v>27</v>
      </c>
      <c r="G735" s="20" t="s">
        <v>27</v>
      </c>
    </row>
    <row r="736" ht="22" customHeight="1" spans="1:7" x14ac:dyDescent="0.25">
      <c r="A736" s="16" t="s">
        <v>36</v>
      </c>
      <c r="B736" s="17" t="s">
        <v>56</v>
      </c>
      <c r="C736" s="17" t="s">
        <v>375</v>
      </c>
      <c r="D736" s="17" t="s">
        <v>58</v>
      </c>
      <c r="E736" s="18">
        <v>15.3</v>
      </c>
      <c r="F736" s="19" t="s">
        <v>22</v>
      </c>
      <c r="G736" s="16" t="s">
        <v>23</v>
      </c>
    </row>
    <row r="737" ht="24" customHeight="1" spans="1:7" x14ac:dyDescent="0.25">
      <c r="A737" s="23" t="s">
        <v>38</v>
      </c>
      <c r="B737" s="23" t="s">
        <v>39</v>
      </c>
      <c r="C737" s="24" t="s">
        <v>40</v>
      </c>
      <c r="D737" s="24" t="s">
        <v>41</v>
      </c>
      <c r="E737" s="25">
        <f>SUM(E730,E732,E734,E736)</f>
        <v>117.4</v>
      </c>
      <c r="F737" s="23" t="str">
        <f>ROUND(E737/60, 1) &amp; " Saat"</f>
        <v>2.0 Saat</v>
      </c>
      <c r="G737" s="23" t="str">
        <f>COUNTIF(G730:G736, "X") &amp; "/4"</f>
        <v>0/4</v>
      </c>
    </row>
    <row r="738" ht="22" customHeight="1" spans="1:7" x14ac:dyDescent="0.25">
      <c r="A738" s="15" t="s">
        <v>74</v>
      </c>
      <c r="B738" s="15"/>
      <c r="C738" s="15"/>
      <c r="D738" s="15"/>
      <c r="E738" s="15"/>
      <c r="F738" s="15"/>
      <c r="G738" s="15"/>
    </row>
    <row r="739" ht="22" customHeight="1" spans="1:7" x14ac:dyDescent="0.25">
      <c r="A739" s="16" t="s">
        <v>18</v>
      </c>
      <c r="B739" s="17" t="s">
        <v>47</v>
      </c>
      <c r="C739" s="17" t="s">
        <v>376</v>
      </c>
      <c r="D739" s="17" t="s">
        <v>49</v>
      </c>
      <c r="E739" s="18">
        <v>47.6</v>
      </c>
      <c r="F739" s="19" t="s">
        <v>22</v>
      </c>
      <c r="G739" s="16" t="s">
        <v>23</v>
      </c>
    </row>
    <row r="740" ht="20" customHeight="1" spans="1:7" x14ac:dyDescent="0.25">
      <c r="A740" s="20" t="s">
        <v>24</v>
      </c>
      <c r="B740" s="21" t="s">
        <v>25</v>
      </c>
      <c r="C740" s="21" t="s">
        <v>26</v>
      </c>
      <c r="D740" s="21" t="s">
        <v>27</v>
      </c>
      <c r="E740" s="22" t="s">
        <v>23</v>
      </c>
      <c r="F740" s="20" t="s">
        <v>27</v>
      </c>
      <c r="G740" s="20" t="s">
        <v>27</v>
      </c>
    </row>
    <row r="741" ht="22" customHeight="1" spans="1:7" x14ac:dyDescent="0.25">
      <c r="A741" s="16" t="s">
        <v>28</v>
      </c>
      <c r="B741" s="17" t="s">
        <v>47</v>
      </c>
      <c r="C741" s="17" t="s">
        <v>377</v>
      </c>
      <c r="D741" s="17" t="s">
        <v>49</v>
      </c>
      <c r="E741" s="18">
        <v>32.7</v>
      </c>
      <c r="F741" s="19" t="s">
        <v>22</v>
      </c>
      <c r="G741" s="16" t="s">
        <v>23</v>
      </c>
    </row>
    <row r="742" ht="20" customHeight="1" spans="1:7" x14ac:dyDescent="0.25">
      <c r="A742" s="20" t="s">
        <v>30</v>
      </c>
      <c r="B742" s="21" t="s">
        <v>25</v>
      </c>
      <c r="C742" s="21" t="s">
        <v>26</v>
      </c>
      <c r="D742" s="21" t="s">
        <v>27</v>
      </c>
      <c r="E742" s="22" t="s">
        <v>23</v>
      </c>
      <c r="F742" s="20" t="s">
        <v>27</v>
      </c>
      <c r="G742" s="20" t="s">
        <v>27</v>
      </c>
    </row>
    <row r="743" ht="22" customHeight="1" spans="1:7" x14ac:dyDescent="0.25">
      <c r="A743" s="16" t="s">
        <v>31</v>
      </c>
      <c r="B743" s="17" t="s">
        <v>52</v>
      </c>
      <c r="C743" s="17" t="s">
        <v>378</v>
      </c>
      <c r="D743" s="17" t="s">
        <v>54</v>
      </c>
      <c r="E743" s="18">
        <v>17.5</v>
      </c>
      <c r="F743" s="19" t="s">
        <v>22</v>
      </c>
      <c r="G743" s="16" t="s">
        <v>23</v>
      </c>
    </row>
    <row r="744" ht="20" customHeight="1" spans="1:7" x14ac:dyDescent="0.25">
      <c r="A744" s="20" t="s">
        <v>35</v>
      </c>
      <c r="B744" s="21" t="s">
        <v>25</v>
      </c>
      <c r="C744" s="21" t="s">
        <v>26</v>
      </c>
      <c r="D744" s="21" t="s">
        <v>27</v>
      </c>
      <c r="E744" s="22" t="s">
        <v>23</v>
      </c>
      <c r="F744" s="20" t="s">
        <v>27</v>
      </c>
      <c r="G744" s="20" t="s">
        <v>27</v>
      </c>
    </row>
    <row r="745" ht="22" customHeight="1" spans="1:7" x14ac:dyDescent="0.25">
      <c r="A745" s="16" t="s">
        <v>36</v>
      </c>
      <c r="B745" s="17" t="s">
        <v>52</v>
      </c>
      <c r="C745" s="17" t="s">
        <v>379</v>
      </c>
      <c r="D745" s="17" t="s">
        <v>54</v>
      </c>
      <c r="E745" s="18">
        <v>21.5</v>
      </c>
      <c r="F745" s="19" t="s">
        <v>22</v>
      </c>
      <c r="G745" s="16" t="s">
        <v>23</v>
      </c>
    </row>
    <row r="746" ht="24" customHeight="1" spans="1:7" x14ac:dyDescent="0.25">
      <c r="A746" s="23" t="s">
        <v>38</v>
      </c>
      <c r="B746" s="23" t="s">
        <v>39</v>
      </c>
      <c r="C746" s="24" t="s">
        <v>40</v>
      </c>
      <c r="D746" s="24" t="s">
        <v>41</v>
      </c>
      <c r="E746" s="25">
        <f>SUM(E739,E741,E743,E745)</f>
        <v>119.3</v>
      </c>
      <c r="F746" s="23" t="str">
        <f>ROUND(E746/60, 1) &amp; " Saat"</f>
        <v>2.0 Saat</v>
      </c>
      <c r="G746" s="23" t="str">
        <f>COUNTIF(G739:G745, "X") &amp; "/4"</f>
        <v>0/4</v>
      </c>
    </row>
    <row r="747" ht="28" customHeight="1" spans="1:7" x14ac:dyDescent="0.25">
      <c r="A747" s="26" t="s">
        <v>79</v>
      </c>
      <c r="B747" s="26"/>
      <c r="C747" s="26"/>
      <c r="D747" s="26"/>
      <c r="E747" s="26"/>
      <c r="F747" s="26"/>
      <c r="G747" s="26"/>
    </row>
    <row r="748" ht="8" customHeight="1" x14ac:dyDescent="0.25"/>
    <row r="749" ht="25" customHeight="1" spans="1:7" x14ac:dyDescent="0.25">
      <c r="A749" s="14" t="s">
        <v>380</v>
      </c>
      <c r="B749" s="14"/>
      <c r="C749" s="14"/>
      <c r="D749" s="14"/>
      <c r="E749" s="14"/>
      <c r="F749" s="14"/>
      <c r="G749" s="14"/>
    </row>
    <row r="750" ht="22" customHeight="1" spans="1:7" x14ac:dyDescent="0.25">
      <c r="A750" s="15" t="s">
        <v>17</v>
      </c>
      <c r="B750" s="15"/>
      <c r="C750" s="15"/>
      <c r="D750" s="15"/>
      <c r="E750" s="15"/>
      <c r="F750" s="15"/>
      <c r="G750" s="15"/>
    </row>
    <row r="751" ht="22" customHeight="1" spans="1:7" x14ac:dyDescent="0.25">
      <c r="A751" s="16" t="s">
        <v>18</v>
      </c>
      <c r="B751" s="17" t="s">
        <v>19</v>
      </c>
      <c r="C751" s="17" t="s">
        <v>381</v>
      </c>
      <c r="D751" s="17" t="s">
        <v>21</v>
      </c>
      <c r="E751" s="18">
        <v>32.3</v>
      </c>
      <c r="F751" s="19" t="s">
        <v>22</v>
      </c>
      <c r="G751" s="16" t="s">
        <v>23</v>
      </c>
    </row>
    <row r="752" ht="20" customHeight="1" spans="1:7" x14ac:dyDescent="0.25">
      <c r="A752" s="20" t="s">
        <v>24</v>
      </c>
      <c r="B752" s="21" t="s">
        <v>25</v>
      </c>
      <c r="C752" s="21" t="s">
        <v>26</v>
      </c>
      <c r="D752" s="21" t="s">
        <v>27</v>
      </c>
      <c r="E752" s="22" t="s">
        <v>23</v>
      </c>
      <c r="F752" s="20" t="s">
        <v>27</v>
      </c>
      <c r="G752" s="20" t="s">
        <v>27</v>
      </c>
    </row>
    <row r="753" ht="22" customHeight="1" spans="1:7" x14ac:dyDescent="0.25">
      <c r="A753" s="16" t="s">
        <v>28</v>
      </c>
      <c r="B753" s="17" t="s">
        <v>19</v>
      </c>
      <c r="C753" s="17" t="s">
        <v>382</v>
      </c>
      <c r="D753" s="17" t="s">
        <v>21</v>
      </c>
      <c r="E753" s="18">
        <v>44</v>
      </c>
      <c r="F753" s="19" t="s">
        <v>22</v>
      </c>
      <c r="G753" s="16" t="s">
        <v>23</v>
      </c>
    </row>
    <row r="754" ht="20" customHeight="1" spans="1:7" x14ac:dyDescent="0.25">
      <c r="A754" s="20" t="s">
        <v>30</v>
      </c>
      <c r="B754" s="21" t="s">
        <v>25</v>
      </c>
      <c r="C754" s="21" t="s">
        <v>26</v>
      </c>
      <c r="D754" s="21" t="s">
        <v>27</v>
      </c>
      <c r="E754" s="22" t="s">
        <v>23</v>
      </c>
      <c r="F754" s="20" t="s">
        <v>27</v>
      </c>
      <c r="G754" s="20" t="s">
        <v>27</v>
      </c>
    </row>
    <row r="755" ht="22" customHeight="1" spans="1:7" x14ac:dyDescent="0.25">
      <c r="A755" s="16" t="s">
        <v>31</v>
      </c>
      <c r="B755" s="17" t="s">
        <v>32</v>
      </c>
      <c r="C755" s="17" t="s">
        <v>383</v>
      </c>
      <c r="D755" s="17" t="s">
        <v>34</v>
      </c>
      <c r="E755" s="18">
        <v>42.8</v>
      </c>
      <c r="F755" s="19" t="s">
        <v>22</v>
      </c>
      <c r="G755" s="16" t="s">
        <v>23</v>
      </c>
    </row>
    <row r="756" ht="20" customHeight="1" spans="1:7" x14ac:dyDescent="0.25">
      <c r="A756" s="20" t="s">
        <v>35</v>
      </c>
      <c r="B756" s="21" t="s">
        <v>25</v>
      </c>
      <c r="C756" s="21" t="s">
        <v>26</v>
      </c>
      <c r="D756" s="21" t="s">
        <v>27</v>
      </c>
      <c r="E756" s="22" t="s">
        <v>23</v>
      </c>
      <c r="F756" s="20" t="s">
        <v>27</v>
      </c>
      <c r="G756" s="20" t="s">
        <v>27</v>
      </c>
    </row>
    <row r="757" ht="22" customHeight="1" spans="1:7" x14ac:dyDescent="0.25">
      <c r="A757" s="16" t="s">
        <v>36</v>
      </c>
      <c r="B757" s="17" t="s">
        <v>32</v>
      </c>
      <c r="C757" s="17" t="s">
        <v>384</v>
      </c>
      <c r="D757" s="17" t="s">
        <v>34</v>
      </c>
      <c r="E757" s="18">
        <v>24.8</v>
      </c>
      <c r="F757" s="19" t="s">
        <v>22</v>
      </c>
      <c r="G757" s="16" t="s">
        <v>23</v>
      </c>
    </row>
    <row r="758" ht="24" customHeight="1" spans="1:7" x14ac:dyDescent="0.25">
      <c r="A758" s="23" t="s">
        <v>38</v>
      </c>
      <c r="B758" s="23" t="s">
        <v>39</v>
      </c>
      <c r="C758" s="24" t="s">
        <v>40</v>
      </c>
      <c r="D758" s="24" t="s">
        <v>41</v>
      </c>
      <c r="E758" s="25">
        <f>SUM(E751,E753,E755,E757)</f>
        <v>143.9</v>
      </c>
      <c r="F758" s="23" t="str">
        <f>ROUND(E758/60, 1) &amp; " Saat"</f>
        <v>2.4 Saat</v>
      </c>
      <c r="G758" s="23" t="str">
        <f>COUNTIF(G751:G757, "X") &amp; "/4"</f>
        <v>0/4</v>
      </c>
    </row>
    <row r="759" ht="22" customHeight="1" spans="1:7" x14ac:dyDescent="0.25">
      <c r="A759" s="15" t="s">
        <v>42</v>
      </c>
      <c r="B759" s="15"/>
      <c r="C759" s="15"/>
      <c r="D759" s="15"/>
      <c r="E759" s="15"/>
      <c r="F759" s="15"/>
      <c r="G759" s="15"/>
    </row>
    <row r="760" ht="22" customHeight="1" spans="1:7" x14ac:dyDescent="0.25">
      <c r="A760" s="16" t="s">
        <v>18</v>
      </c>
      <c r="B760" s="17" t="s">
        <v>43</v>
      </c>
      <c r="C760" s="17" t="s">
        <v>385</v>
      </c>
      <c r="D760" s="17" t="s">
        <v>45</v>
      </c>
      <c r="E760" s="18">
        <v>56.6</v>
      </c>
      <c r="F760" s="19" t="s">
        <v>22</v>
      </c>
      <c r="G760" s="16" t="s">
        <v>23</v>
      </c>
    </row>
    <row r="761" ht="20" customHeight="1" spans="1:7" x14ac:dyDescent="0.25">
      <c r="A761" s="20" t="s">
        <v>24</v>
      </c>
      <c r="B761" s="21" t="s">
        <v>25</v>
      </c>
      <c r="C761" s="21" t="s">
        <v>26</v>
      </c>
      <c r="D761" s="21" t="s">
        <v>27</v>
      </c>
      <c r="E761" s="22" t="s">
        <v>23</v>
      </c>
      <c r="F761" s="20" t="s">
        <v>27</v>
      </c>
      <c r="G761" s="20" t="s">
        <v>27</v>
      </c>
    </row>
    <row r="762" ht="22" customHeight="1" spans="1:7" x14ac:dyDescent="0.25">
      <c r="A762" s="16" t="s">
        <v>28</v>
      </c>
      <c r="B762" s="17" t="s">
        <v>43</v>
      </c>
      <c r="C762" s="17" t="s">
        <v>386</v>
      </c>
      <c r="D762" s="17" t="s">
        <v>45</v>
      </c>
      <c r="E762" s="18">
        <v>26.9</v>
      </c>
      <c r="F762" s="19" t="s">
        <v>22</v>
      </c>
      <c r="G762" s="16" t="s">
        <v>23</v>
      </c>
    </row>
    <row r="763" ht="20" customHeight="1" spans="1:7" x14ac:dyDescent="0.25">
      <c r="A763" s="20" t="s">
        <v>30</v>
      </c>
      <c r="B763" s="21" t="s">
        <v>25</v>
      </c>
      <c r="C763" s="21" t="s">
        <v>26</v>
      </c>
      <c r="D763" s="21" t="s">
        <v>27</v>
      </c>
      <c r="E763" s="22" t="s">
        <v>23</v>
      </c>
      <c r="F763" s="20" t="s">
        <v>27</v>
      </c>
      <c r="G763" s="20" t="s">
        <v>27</v>
      </c>
    </row>
    <row r="764" ht="22" customHeight="1" spans="1:7" x14ac:dyDescent="0.25">
      <c r="A764" s="16" t="s">
        <v>31</v>
      </c>
      <c r="B764" s="17" t="s">
        <v>47</v>
      </c>
      <c r="C764" s="17" t="s">
        <v>387</v>
      </c>
      <c r="D764" s="17" t="s">
        <v>49</v>
      </c>
      <c r="E764" s="18">
        <v>27.7</v>
      </c>
      <c r="F764" s="19" t="s">
        <v>22</v>
      </c>
      <c r="G764" s="16" t="s">
        <v>23</v>
      </c>
    </row>
    <row r="765" ht="20" customHeight="1" spans="1:7" x14ac:dyDescent="0.25">
      <c r="A765" s="20" t="s">
        <v>35</v>
      </c>
      <c r="B765" s="21" t="s">
        <v>25</v>
      </c>
      <c r="C765" s="21" t="s">
        <v>26</v>
      </c>
      <c r="D765" s="21" t="s">
        <v>27</v>
      </c>
      <c r="E765" s="22" t="s">
        <v>23</v>
      </c>
      <c r="F765" s="20" t="s">
        <v>27</v>
      </c>
      <c r="G765" s="20" t="s">
        <v>27</v>
      </c>
    </row>
    <row r="766" ht="22" customHeight="1" spans="1:7" x14ac:dyDescent="0.25">
      <c r="A766" s="16" t="s">
        <v>36</v>
      </c>
      <c r="B766" s="17" t="s">
        <v>47</v>
      </c>
      <c r="C766" s="17" t="s">
        <v>388</v>
      </c>
      <c r="D766" s="17" t="s">
        <v>49</v>
      </c>
      <c r="E766" s="18">
        <v>31.4</v>
      </c>
      <c r="F766" s="19" t="s">
        <v>22</v>
      </c>
      <c r="G766" s="16" t="s">
        <v>23</v>
      </c>
    </row>
    <row r="767" ht="24" customHeight="1" spans="1:7" x14ac:dyDescent="0.25">
      <c r="A767" s="23" t="s">
        <v>38</v>
      </c>
      <c r="B767" s="23" t="s">
        <v>39</v>
      </c>
      <c r="C767" s="24" t="s">
        <v>40</v>
      </c>
      <c r="D767" s="24" t="s">
        <v>41</v>
      </c>
      <c r="E767" s="25">
        <f>SUM(E760,E762,E764,E766)</f>
        <v>142.6</v>
      </c>
      <c r="F767" s="23" t="str">
        <f>ROUND(E767/60, 1) &amp; " Saat"</f>
        <v>2.4 Saat</v>
      </c>
      <c r="G767" s="23" t="str">
        <f>COUNTIF(G760:G766, "X") &amp; "/4"</f>
        <v>0/4</v>
      </c>
    </row>
    <row r="768" ht="22" customHeight="1" spans="1:7" x14ac:dyDescent="0.25">
      <c r="A768" s="15" t="s">
        <v>51</v>
      </c>
      <c r="B768" s="15"/>
      <c r="C768" s="15"/>
      <c r="D768" s="15"/>
      <c r="E768" s="15"/>
      <c r="F768" s="15"/>
      <c r="G768" s="15"/>
    </row>
    <row r="769" ht="22" customHeight="1" spans="1:7" x14ac:dyDescent="0.25">
      <c r="A769" s="16" t="s">
        <v>18</v>
      </c>
      <c r="B769" s="17" t="s">
        <v>52</v>
      </c>
      <c r="C769" s="17" t="s">
        <v>389</v>
      </c>
      <c r="D769" s="17" t="s">
        <v>54</v>
      </c>
      <c r="E769" s="18">
        <v>17.2</v>
      </c>
      <c r="F769" s="19" t="s">
        <v>22</v>
      </c>
      <c r="G769" s="16" t="s">
        <v>23</v>
      </c>
    </row>
    <row r="770" ht="20" customHeight="1" spans="1:7" x14ac:dyDescent="0.25">
      <c r="A770" s="20" t="s">
        <v>24</v>
      </c>
      <c r="B770" s="21" t="s">
        <v>25</v>
      </c>
      <c r="C770" s="21" t="s">
        <v>26</v>
      </c>
      <c r="D770" s="21" t="s">
        <v>27</v>
      </c>
      <c r="E770" s="22" t="s">
        <v>23</v>
      </c>
      <c r="F770" s="20" t="s">
        <v>27</v>
      </c>
      <c r="G770" s="20" t="s">
        <v>27</v>
      </c>
    </row>
    <row r="771" ht="22" customHeight="1" spans="1:7" x14ac:dyDescent="0.25">
      <c r="A771" s="16" t="s">
        <v>28</v>
      </c>
      <c r="B771" s="17" t="s">
        <v>52</v>
      </c>
      <c r="C771" s="17" t="s">
        <v>390</v>
      </c>
      <c r="D771" s="17" t="s">
        <v>54</v>
      </c>
      <c r="E771" s="18">
        <v>34.7</v>
      </c>
      <c r="F771" s="19" t="s">
        <v>22</v>
      </c>
      <c r="G771" s="16" t="s">
        <v>23</v>
      </c>
    </row>
    <row r="772" ht="20" customHeight="1" spans="1:7" x14ac:dyDescent="0.25">
      <c r="A772" s="20" t="s">
        <v>30</v>
      </c>
      <c r="B772" s="21" t="s">
        <v>25</v>
      </c>
      <c r="C772" s="21" t="s">
        <v>26</v>
      </c>
      <c r="D772" s="21" t="s">
        <v>27</v>
      </c>
      <c r="E772" s="22" t="s">
        <v>23</v>
      </c>
      <c r="F772" s="20" t="s">
        <v>27</v>
      </c>
      <c r="G772" s="20" t="s">
        <v>27</v>
      </c>
    </row>
    <row r="773" ht="22" customHeight="1" spans="1:7" x14ac:dyDescent="0.25">
      <c r="A773" s="16" t="s">
        <v>31</v>
      </c>
      <c r="B773" s="17" t="s">
        <v>56</v>
      </c>
      <c r="C773" s="17" t="s">
        <v>391</v>
      </c>
      <c r="D773" s="17" t="s">
        <v>58</v>
      </c>
      <c r="E773" s="18">
        <v>24.7</v>
      </c>
      <c r="F773" s="19" t="s">
        <v>22</v>
      </c>
      <c r="G773" s="16" t="s">
        <v>23</v>
      </c>
    </row>
    <row r="774" ht="20" customHeight="1" spans="1:7" x14ac:dyDescent="0.25">
      <c r="A774" s="20" t="s">
        <v>35</v>
      </c>
      <c r="B774" s="21" t="s">
        <v>25</v>
      </c>
      <c r="C774" s="21" t="s">
        <v>26</v>
      </c>
      <c r="D774" s="21" t="s">
        <v>27</v>
      </c>
      <c r="E774" s="22" t="s">
        <v>23</v>
      </c>
      <c r="F774" s="20" t="s">
        <v>27</v>
      </c>
      <c r="G774" s="20" t="s">
        <v>27</v>
      </c>
    </row>
    <row r="775" ht="22" customHeight="1" spans="1:7" x14ac:dyDescent="0.25">
      <c r="A775" s="16" t="s">
        <v>36</v>
      </c>
      <c r="B775" s="17" t="s">
        <v>56</v>
      </c>
      <c r="C775" s="17" t="s">
        <v>392</v>
      </c>
      <c r="D775" s="17" t="s">
        <v>58</v>
      </c>
      <c r="E775" s="18">
        <v>12.6</v>
      </c>
      <c r="F775" s="19" t="s">
        <v>22</v>
      </c>
      <c r="G775" s="16" t="s">
        <v>23</v>
      </c>
    </row>
    <row r="776" ht="24" customHeight="1" spans="1:7" x14ac:dyDescent="0.25">
      <c r="A776" s="23" t="s">
        <v>38</v>
      </c>
      <c r="B776" s="23" t="s">
        <v>39</v>
      </c>
      <c r="C776" s="24" t="s">
        <v>40</v>
      </c>
      <c r="D776" s="24" t="s">
        <v>41</v>
      </c>
      <c r="E776" s="25">
        <f>SUM(E769,E771,E773,E775)</f>
        <v>89.2</v>
      </c>
      <c r="F776" s="23" t="str">
        <f>ROUND(E776/60, 1) &amp; " Saat"</f>
        <v>1.5 Saat</v>
      </c>
      <c r="G776" s="23" t="str">
        <f>COUNTIF(G769:G775, "X") &amp; "/4"</f>
        <v>0/4</v>
      </c>
    </row>
    <row r="777" ht="22" customHeight="1" spans="1:7" x14ac:dyDescent="0.25">
      <c r="A777" s="15" t="s">
        <v>60</v>
      </c>
      <c r="B777" s="15"/>
      <c r="C777" s="15"/>
      <c r="D777" s="15"/>
      <c r="E777" s="15"/>
      <c r="F777" s="15"/>
      <c r="G777" s="15"/>
    </row>
    <row r="778" ht="22" customHeight="1" spans="1:7" x14ac:dyDescent="0.25">
      <c r="A778" s="16" t="s">
        <v>18</v>
      </c>
      <c r="B778" s="17" t="s">
        <v>43</v>
      </c>
      <c r="C778" s="17" t="s">
        <v>393</v>
      </c>
      <c r="D778" s="17" t="s">
        <v>45</v>
      </c>
      <c r="E778" s="18">
        <v>46.4</v>
      </c>
      <c r="F778" s="19" t="s">
        <v>22</v>
      </c>
      <c r="G778" s="16" t="s">
        <v>23</v>
      </c>
    </row>
    <row r="779" ht="20" customHeight="1" spans="1:7" x14ac:dyDescent="0.25">
      <c r="A779" s="20" t="s">
        <v>24</v>
      </c>
      <c r="B779" s="21" t="s">
        <v>25</v>
      </c>
      <c r="C779" s="21" t="s">
        <v>26</v>
      </c>
      <c r="D779" s="21" t="s">
        <v>27</v>
      </c>
      <c r="E779" s="22" t="s">
        <v>23</v>
      </c>
      <c r="F779" s="20" t="s">
        <v>27</v>
      </c>
      <c r="G779" s="20" t="s">
        <v>27</v>
      </c>
    </row>
    <row r="780" ht="22" customHeight="1" spans="1:7" x14ac:dyDescent="0.25">
      <c r="A780" s="16" t="s">
        <v>28</v>
      </c>
      <c r="B780" s="17" t="s">
        <v>43</v>
      </c>
      <c r="C780" s="17" t="s">
        <v>394</v>
      </c>
      <c r="D780" s="17" t="s">
        <v>45</v>
      </c>
      <c r="E780" s="18">
        <v>53.5</v>
      </c>
      <c r="F780" s="19" t="s">
        <v>22</v>
      </c>
      <c r="G780" s="16" t="s">
        <v>23</v>
      </c>
    </row>
    <row r="781" ht="20" customHeight="1" spans="1:7" x14ac:dyDescent="0.25">
      <c r="A781" s="20" t="s">
        <v>30</v>
      </c>
      <c r="B781" s="21" t="s">
        <v>25</v>
      </c>
      <c r="C781" s="21" t="s">
        <v>26</v>
      </c>
      <c r="D781" s="21" t="s">
        <v>27</v>
      </c>
      <c r="E781" s="22" t="s">
        <v>23</v>
      </c>
      <c r="F781" s="20" t="s">
        <v>27</v>
      </c>
      <c r="G781" s="20" t="s">
        <v>27</v>
      </c>
    </row>
    <row r="782" ht="22" customHeight="1" spans="1:7" x14ac:dyDescent="0.25">
      <c r="A782" s="16" t="s">
        <v>31</v>
      </c>
      <c r="B782" s="17" t="s">
        <v>63</v>
      </c>
      <c r="C782" s="17" t="s">
        <v>395</v>
      </c>
      <c r="D782" s="17" t="s">
        <v>65</v>
      </c>
      <c r="E782" s="18">
        <v>33.9</v>
      </c>
      <c r="F782" s="19" t="s">
        <v>22</v>
      </c>
      <c r="G782" s="16" t="s">
        <v>23</v>
      </c>
    </row>
    <row r="783" ht="20" customHeight="1" spans="1:7" x14ac:dyDescent="0.25">
      <c r="A783" s="20" t="s">
        <v>35</v>
      </c>
      <c r="B783" s="21" t="s">
        <v>25</v>
      </c>
      <c r="C783" s="21" t="s">
        <v>26</v>
      </c>
      <c r="D783" s="21" t="s">
        <v>27</v>
      </c>
      <c r="E783" s="22" t="s">
        <v>23</v>
      </c>
      <c r="F783" s="20" t="s">
        <v>27</v>
      </c>
      <c r="G783" s="20" t="s">
        <v>27</v>
      </c>
    </row>
    <row r="784" ht="22" customHeight="1" spans="1:7" x14ac:dyDescent="0.25">
      <c r="A784" s="16" t="s">
        <v>36</v>
      </c>
      <c r="B784" s="17" t="s">
        <v>63</v>
      </c>
      <c r="C784" s="17" t="s">
        <v>396</v>
      </c>
      <c r="D784" s="17" t="s">
        <v>65</v>
      </c>
      <c r="E784" s="18">
        <v>33</v>
      </c>
      <c r="F784" s="19" t="s">
        <v>22</v>
      </c>
      <c r="G784" s="16" t="s">
        <v>23</v>
      </c>
    </row>
    <row r="785" ht="24" customHeight="1" spans="1:7" x14ac:dyDescent="0.25">
      <c r="A785" s="23" t="s">
        <v>38</v>
      </c>
      <c r="B785" s="23" t="s">
        <v>39</v>
      </c>
      <c r="C785" s="24" t="s">
        <v>40</v>
      </c>
      <c r="D785" s="24" t="s">
        <v>41</v>
      </c>
      <c r="E785" s="25">
        <f>SUM(E778,E780,E782,E784)</f>
        <v>166.8</v>
      </c>
      <c r="F785" s="23" t="str">
        <f>ROUND(E785/60, 1) &amp; " Saat"</f>
        <v>2.8 Saat</v>
      </c>
      <c r="G785" s="23" t="str">
        <f>COUNTIF(G778:G784, "X") &amp; "/4"</f>
        <v>0/4</v>
      </c>
    </row>
    <row r="786" ht="22" customHeight="1" spans="1:7" x14ac:dyDescent="0.25">
      <c r="A786" s="15" t="s">
        <v>67</v>
      </c>
      <c r="B786" s="15"/>
      <c r="C786" s="15"/>
      <c r="D786" s="15"/>
      <c r="E786" s="15"/>
      <c r="F786" s="15"/>
      <c r="G786" s="15"/>
    </row>
    <row r="787" ht="22" customHeight="1" spans="1:7" x14ac:dyDescent="0.25">
      <c r="A787" s="16" t="s">
        <v>18</v>
      </c>
      <c r="B787" s="17" t="s">
        <v>68</v>
      </c>
      <c r="C787" s="17" t="s">
        <v>397</v>
      </c>
      <c r="D787" s="17" t="s">
        <v>70</v>
      </c>
      <c r="E787" s="18">
        <v>38.6</v>
      </c>
      <c r="F787" s="19" t="s">
        <v>22</v>
      </c>
      <c r="G787" s="16" t="s">
        <v>23</v>
      </c>
    </row>
    <row r="788" ht="20" customHeight="1" spans="1:7" x14ac:dyDescent="0.25">
      <c r="A788" s="20" t="s">
        <v>24</v>
      </c>
      <c r="B788" s="21" t="s">
        <v>25</v>
      </c>
      <c r="C788" s="21" t="s">
        <v>26</v>
      </c>
      <c r="D788" s="21" t="s">
        <v>27</v>
      </c>
      <c r="E788" s="22" t="s">
        <v>23</v>
      </c>
      <c r="F788" s="20" t="s">
        <v>27</v>
      </c>
      <c r="G788" s="20" t="s">
        <v>27</v>
      </c>
    </row>
    <row r="789" ht="22" customHeight="1" spans="1:7" x14ac:dyDescent="0.25">
      <c r="A789" s="16" t="s">
        <v>28</v>
      </c>
      <c r="B789" s="17" t="s">
        <v>68</v>
      </c>
      <c r="C789" s="17" t="s">
        <v>398</v>
      </c>
      <c r="D789" s="17" t="s">
        <v>70</v>
      </c>
      <c r="E789" s="18">
        <v>24.7</v>
      </c>
      <c r="F789" s="19" t="s">
        <v>22</v>
      </c>
      <c r="G789" s="16" t="s">
        <v>23</v>
      </c>
    </row>
    <row r="790" ht="20" customHeight="1" spans="1:7" x14ac:dyDescent="0.25">
      <c r="A790" s="20" t="s">
        <v>30</v>
      </c>
      <c r="B790" s="21" t="s">
        <v>25</v>
      </c>
      <c r="C790" s="21" t="s">
        <v>26</v>
      </c>
      <c r="D790" s="21" t="s">
        <v>27</v>
      </c>
      <c r="E790" s="22" t="s">
        <v>23</v>
      </c>
      <c r="F790" s="20" t="s">
        <v>27</v>
      </c>
      <c r="G790" s="20" t="s">
        <v>27</v>
      </c>
    </row>
    <row r="791" ht="22" customHeight="1" spans="1:7" x14ac:dyDescent="0.25">
      <c r="A791" s="16" t="s">
        <v>31</v>
      </c>
      <c r="B791" s="17" t="s">
        <v>56</v>
      </c>
      <c r="C791" s="17" t="s">
        <v>399</v>
      </c>
      <c r="D791" s="17" t="s">
        <v>58</v>
      </c>
      <c r="E791" s="18">
        <v>32.5</v>
      </c>
      <c r="F791" s="19" t="s">
        <v>22</v>
      </c>
      <c r="G791" s="16" t="s">
        <v>23</v>
      </c>
    </row>
    <row r="792" ht="20" customHeight="1" spans="1:7" x14ac:dyDescent="0.25">
      <c r="A792" s="20" t="s">
        <v>35</v>
      </c>
      <c r="B792" s="21" t="s">
        <v>25</v>
      </c>
      <c r="C792" s="21" t="s">
        <v>26</v>
      </c>
      <c r="D792" s="21" t="s">
        <v>27</v>
      </c>
      <c r="E792" s="22" t="s">
        <v>23</v>
      </c>
      <c r="F792" s="20" t="s">
        <v>27</v>
      </c>
      <c r="G792" s="20" t="s">
        <v>27</v>
      </c>
    </row>
    <row r="793" ht="22" customHeight="1" spans="1:7" x14ac:dyDescent="0.25">
      <c r="A793" s="16" t="s">
        <v>36</v>
      </c>
      <c r="B793" s="17" t="s">
        <v>56</v>
      </c>
      <c r="C793" s="17" t="s">
        <v>400</v>
      </c>
      <c r="D793" s="17" t="s">
        <v>58</v>
      </c>
      <c r="E793" s="18">
        <v>70</v>
      </c>
      <c r="F793" s="19" t="s">
        <v>22</v>
      </c>
      <c r="G793" s="16" t="s">
        <v>23</v>
      </c>
    </row>
    <row r="794" ht="24" customHeight="1" spans="1:7" x14ac:dyDescent="0.25">
      <c r="A794" s="23" t="s">
        <v>38</v>
      </c>
      <c r="B794" s="23" t="s">
        <v>39</v>
      </c>
      <c r="C794" s="24" t="s">
        <v>40</v>
      </c>
      <c r="D794" s="24" t="s">
        <v>41</v>
      </c>
      <c r="E794" s="25">
        <f>SUM(E787,E789,E791,E793)</f>
        <v>165.8</v>
      </c>
      <c r="F794" s="23" t="str">
        <f>ROUND(E794/60, 1) &amp; " Saat"</f>
        <v>2.8 Saat</v>
      </c>
      <c r="G794" s="23" t="str">
        <f>COUNTIF(G787:G793, "X") &amp; "/4"</f>
        <v>0/4</v>
      </c>
    </row>
    <row r="795" ht="22" customHeight="1" spans="1:7" x14ac:dyDescent="0.25">
      <c r="A795" s="15" t="s">
        <v>74</v>
      </c>
      <c r="B795" s="15"/>
      <c r="C795" s="15"/>
      <c r="D795" s="15"/>
      <c r="E795" s="15"/>
      <c r="F795" s="15"/>
      <c r="G795" s="15"/>
    </row>
    <row r="796" ht="22" customHeight="1" spans="1:7" x14ac:dyDescent="0.25">
      <c r="A796" s="16" t="s">
        <v>18</v>
      </c>
      <c r="B796" s="17" t="s">
        <v>47</v>
      </c>
      <c r="C796" s="17" t="s">
        <v>401</v>
      </c>
      <c r="D796" s="17" t="s">
        <v>49</v>
      </c>
      <c r="E796" s="18">
        <v>46.6</v>
      </c>
      <c r="F796" s="19" t="s">
        <v>22</v>
      </c>
      <c r="G796" s="16" t="s">
        <v>23</v>
      </c>
    </row>
    <row r="797" ht="20" customHeight="1" spans="1:7" x14ac:dyDescent="0.25">
      <c r="A797" s="20" t="s">
        <v>24</v>
      </c>
      <c r="B797" s="21" t="s">
        <v>25</v>
      </c>
      <c r="C797" s="21" t="s">
        <v>26</v>
      </c>
      <c r="D797" s="21" t="s">
        <v>27</v>
      </c>
      <c r="E797" s="22" t="s">
        <v>23</v>
      </c>
      <c r="F797" s="20" t="s">
        <v>27</v>
      </c>
      <c r="G797" s="20" t="s">
        <v>27</v>
      </c>
    </row>
    <row r="798" ht="22" customHeight="1" spans="1:7" x14ac:dyDescent="0.25">
      <c r="A798" s="16" t="s">
        <v>28</v>
      </c>
      <c r="B798" s="17" t="s">
        <v>47</v>
      </c>
      <c r="C798" s="17" t="s">
        <v>402</v>
      </c>
      <c r="D798" s="17" t="s">
        <v>49</v>
      </c>
      <c r="E798" s="18">
        <v>23.4</v>
      </c>
      <c r="F798" s="19" t="s">
        <v>22</v>
      </c>
      <c r="G798" s="16" t="s">
        <v>23</v>
      </c>
    </row>
    <row r="799" ht="20" customHeight="1" spans="1:7" x14ac:dyDescent="0.25">
      <c r="A799" s="20" t="s">
        <v>30</v>
      </c>
      <c r="B799" s="21" t="s">
        <v>25</v>
      </c>
      <c r="C799" s="21" t="s">
        <v>26</v>
      </c>
      <c r="D799" s="21" t="s">
        <v>27</v>
      </c>
      <c r="E799" s="22" t="s">
        <v>23</v>
      </c>
      <c r="F799" s="20" t="s">
        <v>27</v>
      </c>
      <c r="G799" s="20" t="s">
        <v>27</v>
      </c>
    </row>
    <row r="800" ht="22" customHeight="1" spans="1:7" x14ac:dyDescent="0.25">
      <c r="A800" s="16" t="s">
        <v>31</v>
      </c>
      <c r="B800" s="17" t="s">
        <v>52</v>
      </c>
      <c r="C800" s="17" t="s">
        <v>403</v>
      </c>
      <c r="D800" s="17" t="s">
        <v>54</v>
      </c>
      <c r="E800" s="18">
        <v>42.8</v>
      </c>
      <c r="F800" s="19" t="s">
        <v>22</v>
      </c>
      <c r="G800" s="16" t="s">
        <v>23</v>
      </c>
    </row>
    <row r="801" ht="20" customHeight="1" spans="1:7" x14ac:dyDescent="0.25">
      <c r="A801" s="20" t="s">
        <v>35</v>
      </c>
      <c r="B801" s="21" t="s">
        <v>25</v>
      </c>
      <c r="C801" s="21" t="s">
        <v>26</v>
      </c>
      <c r="D801" s="21" t="s">
        <v>27</v>
      </c>
      <c r="E801" s="22" t="s">
        <v>23</v>
      </c>
      <c r="F801" s="20" t="s">
        <v>27</v>
      </c>
      <c r="G801" s="20" t="s">
        <v>27</v>
      </c>
    </row>
    <row r="802" ht="22" customHeight="1" spans="1:7" x14ac:dyDescent="0.25">
      <c r="A802" s="16" t="s">
        <v>36</v>
      </c>
      <c r="B802" s="17" t="s">
        <v>52</v>
      </c>
      <c r="C802" s="17" t="s">
        <v>404</v>
      </c>
      <c r="D802" s="17" t="s">
        <v>54</v>
      </c>
      <c r="E802" s="18">
        <v>23</v>
      </c>
      <c r="F802" s="19" t="s">
        <v>22</v>
      </c>
      <c r="G802" s="16" t="s">
        <v>23</v>
      </c>
    </row>
    <row r="803" ht="24" customHeight="1" spans="1:7" x14ac:dyDescent="0.25">
      <c r="A803" s="23" t="s">
        <v>38</v>
      </c>
      <c r="B803" s="23" t="s">
        <v>39</v>
      </c>
      <c r="C803" s="24" t="s">
        <v>40</v>
      </c>
      <c r="D803" s="24" t="s">
        <v>41</v>
      </c>
      <c r="E803" s="25">
        <f>SUM(E796,E798,E800,E802)</f>
        <v>135.8</v>
      </c>
      <c r="F803" s="23" t="str">
        <f>ROUND(E803/60, 1) &amp; " Saat"</f>
        <v>2.3 Saat</v>
      </c>
      <c r="G803" s="23" t="str">
        <f>COUNTIF(G796:G802, "X") &amp; "/4"</f>
        <v>0/4</v>
      </c>
    </row>
    <row r="804" ht="28" customHeight="1" spans="1:7" x14ac:dyDescent="0.25">
      <c r="A804" s="26" t="s">
        <v>79</v>
      </c>
      <c r="B804" s="26"/>
      <c r="C804" s="26"/>
      <c r="D804" s="26"/>
      <c r="E804" s="26"/>
      <c r="F804" s="26"/>
      <c r="G804" s="26"/>
    </row>
    <row r="805" ht="8" customHeight="1" x14ac:dyDescent="0.25"/>
    <row r="806" ht="25" customHeight="1" spans="1:7" x14ac:dyDescent="0.25">
      <c r="A806" s="14" t="s">
        <v>405</v>
      </c>
      <c r="B806" s="14"/>
      <c r="C806" s="14"/>
      <c r="D806" s="14"/>
      <c r="E806" s="14"/>
      <c r="F806" s="14"/>
      <c r="G806" s="14"/>
    </row>
    <row r="807" ht="22" customHeight="1" spans="1:7" x14ac:dyDescent="0.25">
      <c r="A807" s="15" t="s">
        <v>17</v>
      </c>
      <c r="B807" s="15"/>
      <c r="C807" s="15"/>
      <c r="D807" s="15"/>
      <c r="E807" s="15"/>
      <c r="F807" s="15"/>
      <c r="G807" s="15"/>
    </row>
    <row r="808" ht="22" customHeight="1" spans="1:7" x14ac:dyDescent="0.25">
      <c r="A808" s="16" t="s">
        <v>18</v>
      </c>
      <c r="B808" s="17" t="s">
        <v>19</v>
      </c>
      <c r="C808" s="17" t="s">
        <v>406</v>
      </c>
      <c r="D808" s="17" t="s">
        <v>21</v>
      </c>
      <c r="E808" s="18">
        <v>18.6</v>
      </c>
      <c r="F808" s="19" t="s">
        <v>22</v>
      </c>
      <c r="G808" s="16" t="s">
        <v>23</v>
      </c>
    </row>
    <row r="809" ht="20" customHeight="1" spans="1:7" x14ac:dyDescent="0.25">
      <c r="A809" s="20" t="s">
        <v>24</v>
      </c>
      <c r="B809" s="21" t="s">
        <v>25</v>
      </c>
      <c r="C809" s="21" t="s">
        <v>26</v>
      </c>
      <c r="D809" s="21" t="s">
        <v>27</v>
      </c>
      <c r="E809" s="22" t="s">
        <v>23</v>
      </c>
      <c r="F809" s="20" t="s">
        <v>27</v>
      </c>
      <c r="G809" s="20" t="s">
        <v>27</v>
      </c>
    </row>
    <row r="810" ht="22" customHeight="1" spans="1:7" x14ac:dyDescent="0.25">
      <c r="A810" s="16" t="s">
        <v>28</v>
      </c>
      <c r="B810" s="17" t="s">
        <v>19</v>
      </c>
      <c r="C810" s="17" t="s">
        <v>407</v>
      </c>
      <c r="D810" s="17" t="s">
        <v>21</v>
      </c>
      <c r="E810" s="18">
        <v>23.1</v>
      </c>
      <c r="F810" s="19" t="s">
        <v>22</v>
      </c>
      <c r="G810" s="16" t="s">
        <v>23</v>
      </c>
    </row>
    <row r="811" ht="20" customHeight="1" spans="1:7" x14ac:dyDescent="0.25">
      <c r="A811" s="20" t="s">
        <v>30</v>
      </c>
      <c r="B811" s="21" t="s">
        <v>25</v>
      </c>
      <c r="C811" s="21" t="s">
        <v>26</v>
      </c>
      <c r="D811" s="21" t="s">
        <v>27</v>
      </c>
      <c r="E811" s="22" t="s">
        <v>23</v>
      </c>
      <c r="F811" s="20" t="s">
        <v>27</v>
      </c>
      <c r="G811" s="20" t="s">
        <v>27</v>
      </c>
    </row>
    <row r="812" ht="22" customHeight="1" spans="1:7" x14ac:dyDescent="0.25">
      <c r="A812" s="16" t="s">
        <v>31</v>
      </c>
      <c r="B812" s="17" t="s">
        <v>32</v>
      </c>
      <c r="C812" s="17" t="s">
        <v>408</v>
      </c>
      <c r="D812" s="17" t="s">
        <v>34</v>
      </c>
      <c r="E812" s="18">
        <v>30.6</v>
      </c>
      <c r="F812" s="19" t="s">
        <v>22</v>
      </c>
      <c r="G812" s="16" t="s">
        <v>23</v>
      </c>
    </row>
    <row r="813" ht="20" customHeight="1" spans="1:7" x14ac:dyDescent="0.25">
      <c r="A813" s="20" t="s">
        <v>35</v>
      </c>
      <c r="B813" s="21" t="s">
        <v>25</v>
      </c>
      <c r="C813" s="21" t="s">
        <v>26</v>
      </c>
      <c r="D813" s="21" t="s">
        <v>27</v>
      </c>
      <c r="E813" s="22" t="s">
        <v>23</v>
      </c>
      <c r="F813" s="20" t="s">
        <v>27</v>
      </c>
      <c r="G813" s="20" t="s">
        <v>27</v>
      </c>
    </row>
    <row r="814" ht="22" customHeight="1" spans="1:7" x14ac:dyDescent="0.25">
      <c r="A814" s="16" t="s">
        <v>36</v>
      </c>
      <c r="B814" s="17" t="s">
        <v>32</v>
      </c>
      <c r="C814" s="17" t="s">
        <v>409</v>
      </c>
      <c r="D814" s="17" t="s">
        <v>34</v>
      </c>
      <c r="E814" s="18">
        <v>38.3</v>
      </c>
      <c r="F814" s="19" t="s">
        <v>22</v>
      </c>
      <c r="G814" s="16" t="s">
        <v>23</v>
      </c>
    </row>
    <row r="815" ht="24" customHeight="1" spans="1:7" x14ac:dyDescent="0.25">
      <c r="A815" s="23" t="s">
        <v>38</v>
      </c>
      <c r="B815" s="23" t="s">
        <v>39</v>
      </c>
      <c r="C815" s="24" t="s">
        <v>40</v>
      </c>
      <c r="D815" s="24" t="s">
        <v>41</v>
      </c>
      <c r="E815" s="25">
        <f>SUM(E808,E810,E812,E814)</f>
        <v>110.6</v>
      </c>
      <c r="F815" s="23" t="str">
        <f>ROUND(E815/60, 1) &amp; " Saat"</f>
        <v>1.8 Saat</v>
      </c>
      <c r="G815" s="23" t="str">
        <f>COUNTIF(G808:G814, "X") &amp; "/4"</f>
        <v>0/4</v>
      </c>
    </row>
    <row r="816" ht="22" customHeight="1" spans="1:7" x14ac:dyDescent="0.25">
      <c r="A816" s="15" t="s">
        <v>42</v>
      </c>
      <c r="B816" s="15"/>
      <c r="C816" s="15"/>
      <c r="D816" s="15"/>
      <c r="E816" s="15"/>
      <c r="F816" s="15"/>
      <c r="G816" s="15"/>
    </row>
    <row r="817" ht="22" customHeight="1" spans="1:7" x14ac:dyDescent="0.25">
      <c r="A817" s="16" t="s">
        <v>18</v>
      </c>
      <c r="B817" s="17" t="s">
        <v>43</v>
      </c>
      <c r="C817" s="17" t="s">
        <v>410</v>
      </c>
      <c r="D817" s="17" t="s">
        <v>45</v>
      </c>
      <c r="E817" s="18">
        <v>43.4</v>
      </c>
      <c r="F817" s="19" t="s">
        <v>22</v>
      </c>
      <c r="G817" s="16" t="s">
        <v>23</v>
      </c>
    </row>
    <row r="818" ht="20" customHeight="1" spans="1:7" x14ac:dyDescent="0.25">
      <c r="A818" s="20" t="s">
        <v>24</v>
      </c>
      <c r="B818" s="21" t="s">
        <v>25</v>
      </c>
      <c r="C818" s="21" t="s">
        <v>26</v>
      </c>
      <c r="D818" s="21" t="s">
        <v>27</v>
      </c>
      <c r="E818" s="22" t="s">
        <v>23</v>
      </c>
      <c r="F818" s="20" t="s">
        <v>27</v>
      </c>
      <c r="G818" s="20" t="s">
        <v>27</v>
      </c>
    </row>
    <row r="819" ht="22" customHeight="1" spans="1:7" x14ac:dyDescent="0.25">
      <c r="A819" s="16" t="s">
        <v>28</v>
      </c>
      <c r="B819" s="17" t="s">
        <v>43</v>
      </c>
      <c r="C819" s="17" t="s">
        <v>411</v>
      </c>
      <c r="D819" s="17" t="s">
        <v>45</v>
      </c>
      <c r="E819" s="18">
        <v>42.8</v>
      </c>
      <c r="F819" s="19" t="s">
        <v>22</v>
      </c>
      <c r="G819" s="16" t="s">
        <v>23</v>
      </c>
    </row>
    <row r="820" ht="20" customHeight="1" spans="1:7" x14ac:dyDescent="0.25">
      <c r="A820" s="20" t="s">
        <v>30</v>
      </c>
      <c r="B820" s="21" t="s">
        <v>25</v>
      </c>
      <c r="C820" s="21" t="s">
        <v>26</v>
      </c>
      <c r="D820" s="21" t="s">
        <v>27</v>
      </c>
      <c r="E820" s="22" t="s">
        <v>23</v>
      </c>
      <c r="F820" s="20" t="s">
        <v>27</v>
      </c>
      <c r="G820" s="20" t="s">
        <v>27</v>
      </c>
    </row>
    <row r="821" ht="22" customHeight="1" spans="1:7" x14ac:dyDescent="0.25">
      <c r="A821" s="16" t="s">
        <v>31</v>
      </c>
      <c r="B821" s="17" t="s">
        <v>47</v>
      </c>
      <c r="C821" s="17" t="s">
        <v>412</v>
      </c>
      <c r="D821" s="17" t="s">
        <v>49</v>
      </c>
      <c r="E821" s="18">
        <v>29.6</v>
      </c>
      <c r="F821" s="19" t="s">
        <v>22</v>
      </c>
      <c r="G821" s="16" t="s">
        <v>23</v>
      </c>
    </row>
    <row r="822" ht="20" customHeight="1" spans="1:7" x14ac:dyDescent="0.25">
      <c r="A822" s="20" t="s">
        <v>35</v>
      </c>
      <c r="B822" s="21" t="s">
        <v>25</v>
      </c>
      <c r="C822" s="21" t="s">
        <v>26</v>
      </c>
      <c r="D822" s="21" t="s">
        <v>27</v>
      </c>
      <c r="E822" s="22" t="s">
        <v>23</v>
      </c>
      <c r="F822" s="20" t="s">
        <v>27</v>
      </c>
      <c r="G822" s="20" t="s">
        <v>27</v>
      </c>
    </row>
    <row r="823" ht="22" customHeight="1" spans="1:7" x14ac:dyDescent="0.25">
      <c r="A823" s="16" t="s">
        <v>36</v>
      </c>
      <c r="B823" s="17" t="s">
        <v>47</v>
      </c>
      <c r="C823" s="17" t="s">
        <v>413</v>
      </c>
      <c r="D823" s="17" t="s">
        <v>49</v>
      </c>
      <c r="E823" s="18">
        <v>41.5</v>
      </c>
      <c r="F823" s="19" t="s">
        <v>22</v>
      </c>
      <c r="G823" s="16" t="s">
        <v>23</v>
      </c>
    </row>
    <row r="824" ht="24" customHeight="1" spans="1:7" x14ac:dyDescent="0.25">
      <c r="A824" s="23" t="s">
        <v>38</v>
      </c>
      <c r="B824" s="23" t="s">
        <v>39</v>
      </c>
      <c r="C824" s="24" t="s">
        <v>40</v>
      </c>
      <c r="D824" s="24" t="s">
        <v>41</v>
      </c>
      <c r="E824" s="25">
        <f>SUM(E817,E819,E821,E823)</f>
        <v>157.3</v>
      </c>
      <c r="F824" s="23" t="str">
        <f>ROUND(E824/60, 1) &amp; " Saat"</f>
        <v>2.6 Saat</v>
      </c>
      <c r="G824" s="23" t="str">
        <f>COUNTIF(G817:G823, "X") &amp; "/4"</f>
        <v>0/4</v>
      </c>
    </row>
    <row r="825" ht="22" customHeight="1" spans="1:7" x14ac:dyDescent="0.25">
      <c r="A825" s="15" t="s">
        <v>51</v>
      </c>
      <c r="B825" s="15"/>
      <c r="C825" s="15"/>
      <c r="D825" s="15"/>
      <c r="E825" s="15"/>
      <c r="F825" s="15"/>
      <c r="G825" s="15"/>
    </row>
    <row r="826" ht="22" customHeight="1" spans="1:7" x14ac:dyDescent="0.25">
      <c r="A826" s="16" t="s">
        <v>18</v>
      </c>
      <c r="B826" s="17" t="s">
        <v>52</v>
      </c>
      <c r="C826" s="17" t="s">
        <v>414</v>
      </c>
      <c r="D826" s="17" t="s">
        <v>54</v>
      </c>
      <c r="E826" s="18">
        <v>17.9</v>
      </c>
      <c r="F826" s="19" t="s">
        <v>22</v>
      </c>
      <c r="G826" s="16" t="s">
        <v>23</v>
      </c>
    </row>
    <row r="827" ht="20" customHeight="1" spans="1:7" x14ac:dyDescent="0.25">
      <c r="A827" s="20" t="s">
        <v>24</v>
      </c>
      <c r="B827" s="21" t="s">
        <v>25</v>
      </c>
      <c r="C827" s="21" t="s">
        <v>26</v>
      </c>
      <c r="D827" s="21" t="s">
        <v>27</v>
      </c>
      <c r="E827" s="22" t="s">
        <v>23</v>
      </c>
      <c r="F827" s="20" t="s">
        <v>27</v>
      </c>
      <c r="G827" s="20" t="s">
        <v>27</v>
      </c>
    </row>
    <row r="828" ht="22" customHeight="1" spans="1:7" x14ac:dyDescent="0.25">
      <c r="A828" s="16" t="s">
        <v>28</v>
      </c>
      <c r="B828" s="17" t="s">
        <v>52</v>
      </c>
      <c r="C828" s="17" t="s">
        <v>415</v>
      </c>
      <c r="D828" s="17" t="s">
        <v>54</v>
      </c>
      <c r="E828" s="18">
        <v>45</v>
      </c>
      <c r="F828" s="19" t="s">
        <v>22</v>
      </c>
      <c r="G828" s="16" t="s">
        <v>23</v>
      </c>
    </row>
    <row r="829" ht="20" customHeight="1" spans="1:7" x14ac:dyDescent="0.25">
      <c r="A829" s="20" t="s">
        <v>30</v>
      </c>
      <c r="B829" s="21" t="s">
        <v>25</v>
      </c>
      <c r="C829" s="21" t="s">
        <v>26</v>
      </c>
      <c r="D829" s="21" t="s">
        <v>27</v>
      </c>
      <c r="E829" s="22" t="s">
        <v>23</v>
      </c>
      <c r="F829" s="20" t="s">
        <v>27</v>
      </c>
      <c r="G829" s="20" t="s">
        <v>27</v>
      </c>
    </row>
    <row r="830" ht="22" customHeight="1" spans="1:7" x14ac:dyDescent="0.25">
      <c r="A830" s="16" t="s">
        <v>31</v>
      </c>
      <c r="B830" s="17" t="s">
        <v>56</v>
      </c>
      <c r="C830" s="17" t="s">
        <v>416</v>
      </c>
      <c r="D830" s="17" t="s">
        <v>58</v>
      </c>
      <c r="E830" s="18">
        <v>39.4</v>
      </c>
      <c r="F830" s="19" t="s">
        <v>22</v>
      </c>
      <c r="G830" s="16" t="s">
        <v>23</v>
      </c>
    </row>
    <row r="831" ht="20" customHeight="1" spans="1:7" x14ac:dyDescent="0.25">
      <c r="A831" s="20" t="s">
        <v>35</v>
      </c>
      <c r="B831" s="21" t="s">
        <v>25</v>
      </c>
      <c r="C831" s="21" t="s">
        <v>26</v>
      </c>
      <c r="D831" s="21" t="s">
        <v>27</v>
      </c>
      <c r="E831" s="22" t="s">
        <v>23</v>
      </c>
      <c r="F831" s="20" t="s">
        <v>27</v>
      </c>
      <c r="G831" s="20" t="s">
        <v>27</v>
      </c>
    </row>
    <row r="832" ht="22" customHeight="1" spans="1:7" x14ac:dyDescent="0.25">
      <c r="A832" s="16" t="s">
        <v>36</v>
      </c>
      <c r="B832" s="17" t="s">
        <v>56</v>
      </c>
      <c r="C832" s="17" t="s">
        <v>417</v>
      </c>
      <c r="D832" s="17" t="s">
        <v>58</v>
      </c>
      <c r="E832" s="18">
        <v>55.1</v>
      </c>
      <c r="F832" s="19" t="s">
        <v>22</v>
      </c>
      <c r="G832" s="16" t="s">
        <v>23</v>
      </c>
    </row>
    <row r="833" ht="24" customHeight="1" spans="1:7" x14ac:dyDescent="0.25">
      <c r="A833" s="23" t="s">
        <v>38</v>
      </c>
      <c r="B833" s="23" t="s">
        <v>39</v>
      </c>
      <c r="C833" s="24" t="s">
        <v>40</v>
      </c>
      <c r="D833" s="24" t="s">
        <v>41</v>
      </c>
      <c r="E833" s="25">
        <f>SUM(E826,E828,E830,E832)</f>
        <v>157.4</v>
      </c>
      <c r="F833" s="23" t="str">
        <f>ROUND(E833/60, 1) &amp; " Saat"</f>
        <v>2.6 Saat</v>
      </c>
      <c r="G833" s="23" t="str">
        <f>COUNTIF(G826:G832, "X") &amp; "/4"</f>
        <v>0/4</v>
      </c>
    </row>
    <row r="834" ht="22" customHeight="1" spans="1:7" x14ac:dyDescent="0.25">
      <c r="A834" s="15" t="s">
        <v>60</v>
      </c>
      <c r="B834" s="15"/>
      <c r="C834" s="15"/>
      <c r="D834" s="15"/>
      <c r="E834" s="15"/>
      <c r="F834" s="15"/>
      <c r="G834" s="15"/>
    </row>
    <row r="835" ht="22" customHeight="1" spans="1:7" x14ac:dyDescent="0.25">
      <c r="A835" s="16" t="s">
        <v>18</v>
      </c>
      <c r="B835" s="17" t="s">
        <v>43</v>
      </c>
      <c r="C835" s="17" t="s">
        <v>418</v>
      </c>
      <c r="D835" s="17" t="s">
        <v>45</v>
      </c>
      <c r="E835" s="18">
        <v>38.4</v>
      </c>
      <c r="F835" s="19" t="s">
        <v>22</v>
      </c>
      <c r="G835" s="16" t="s">
        <v>23</v>
      </c>
    </row>
    <row r="836" ht="20" customHeight="1" spans="1:7" x14ac:dyDescent="0.25">
      <c r="A836" s="20" t="s">
        <v>24</v>
      </c>
      <c r="B836" s="21" t="s">
        <v>25</v>
      </c>
      <c r="C836" s="21" t="s">
        <v>26</v>
      </c>
      <c r="D836" s="21" t="s">
        <v>27</v>
      </c>
      <c r="E836" s="22" t="s">
        <v>23</v>
      </c>
      <c r="F836" s="20" t="s">
        <v>27</v>
      </c>
      <c r="G836" s="20" t="s">
        <v>27</v>
      </c>
    </row>
    <row r="837" ht="22" customHeight="1" spans="1:7" x14ac:dyDescent="0.25">
      <c r="A837" s="16" t="s">
        <v>28</v>
      </c>
      <c r="B837" s="17" t="s">
        <v>43</v>
      </c>
      <c r="C837" s="17" t="s">
        <v>419</v>
      </c>
      <c r="D837" s="17" t="s">
        <v>45</v>
      </c>
      <c r="E837" s="18">
        <v>54.3</v>
      </c>
      <c r="F837" s="19" t="s">
        <v>22</v>
      </c>
      <c r="G837" s="16" t="s">
        <v>23</v>
      </c>
    </row>
    <row r="838" ht="20" customHeight="1" spans="1:7" x14ac:dyDescent="0.25">
      <c r="A838" s="20" t="s">
        <v>30</v>
      </c>
      <c r="B838" s="21" t="s">
        <v>25</v>
      </c>
      <c r="C838" s="21" t="s">
        <v>26</v>
      </c>
      <c r="D838" s="21" t="s">
        <v>27</v>
      </c>
      <c r="E838" s="22" t="s">
        <v>23</v>
      </c>
      <c r="F838" s="20" t="s">
        <v>27</v>
      </c>
      <c r="G838" s="20" t="s">
        <v>27</v>
      </c>
    </row>
    <row r="839" ht="22" customHeight="1" spans="1:7" x14ac:dyDescent="0.25">
      <c r="A839" s="16" t="s">
        <v>31</v>
      </c>
      <c r="B839" s="17" t="s">
        <v>63</v>
      </c>
      <c r="C839" s="17" t="s">
        <v>420</v>
      </c>
      <c r="D839" s="17" t="s">
        <v>65</v>
      </c>
      <c r="E839" s="18">
        <v>17.2</v>
      </c>
      <c r="F839" s="19" t="s">
        <v>22</v>
      </c>
      <c r="G839" s="16" t="s">
        <v>23</v>
      </c>
    </row>
    <row r="840" ht="20" customHeight="1" spans="1:7" x14ac:dyDescent="0.25">
      <c r="A840" s="20" t="s">
        <v>35</v>
      </c>
      <c r="B840" s="21" t="s">
        <v>25</v>
      </c>
      <c r="C840" s="21" t="s">
        <v>26</v>
      </c>
      <c r="D840" s="21" t="s">
        <v>27</v>
      </c>
      <c r="E840" s="22" t="s">
        <v>23</v>
      </c>
      <c r="F840" s="20" t="s">
        <v>27</v>
      </c>
      <c r="G840" s="20" t="s">
        <v>27</v>
      </c>
    </row>
    <row r="841" ht="22" customHeight="1" spans="1:7" x14ac:dyDescent="0.25">
      <c r="A841" s="16" t="s">
        <v>36</v>
      </c>
      <c r="B841" s="17" t="s">
        <v>63</v>
      </c>
      <c r="C841" s="17" t="s">
        <v>421</v>
      </c>
      <c r="D841" s="17" t="s">
        <v>65</v>
      </c>
      <c r="E841" s="18">
        <v>8.7</v>
      </c>
      <c r="F841" s="19" t="s">
        <v>22</v>
      </c>
      <c r="G841" s="16" t="s">
        <v>23</v>
      </c>
    </row>
    <row r="842" ht="24" customHeight="1" spans="1:7" x14ac:dyDescent="0.25">
      <c r="A842" s="23" t="s">
        <v>38</v>
      </c>
      <c r="B842" s="23" t="s">
        <v>39</v>
      </c>
      <c r="C842" s="24" t="s">
        <v>40</v>
      </c>
      <c r="D842" s="24" t="s">
        <v>41</v>
      </c>
      <c r="E842" s="25">
        <f>SUM(E835,E837,E839,E841)</f>
        <v>118.6</v>
      </c>
      <c r="F842" s="23" t="str">
        <f>ROUND(E842/60, 1) &amp; " Saat"</f>
        <v>2.0 Saat</v>
      </c>
      <c r="G842" s="23" t="str">
        <f>COUNTIF(G835:G841, "X") &amp; "/4"</f>
        <v>0/4</v>
      </c>
    </row>
    <row r="843" ht="22" customHeight="1" spans="1:7" x14ac:dyDescent="0.25">
      <c r="A843" s="15" t="s">
        <v>67</v>
      </c>
      <c r="B843" s="15"/>
      <c r="C843" s="15"/>
      <c r="D843" s="15"/>
      <c r="E843" s="15"/>
      <c r="F843" s="15"/>
      <c r="G843" s="15"/>
    </row>
    <row r="844" ht="22" customHeight="1" spans="1:7" x14ac:dyDescent="0.25">
      <c r="A844" s="16" t="s">
        <v>18</v>
      </c>
      <c r="B844" s="17" t="s">
        <v>68</v>
      </c>
      <c r="C844" s="17" t="s">
        <v>422</v>
      </c>
      <c r="D844" s="17" t="s">
        <v>70</v>
      </c>
      <c r="E844" s="18">
        <v>69.8</v>
      </c>
      <c r="F844" s="19" t="s">
        <v>22</v>
      </c>
      <c r="G844" s="16" t="s">
        <v>23</v>
      </c>
    </row>
    <row r="845" ht="20" customHeight="1" spans="1:7" x14ac:dyDescent="0.25">
      <c r="A845" s="20" t="s">
        <v>24</v>
      </c>
      <c r="B845" s="21" t="s">
        <v>25</v>
      </c>
      <c r="C845" s="21" t="s">
        <v>26</v>
      </c>
      <c r="D845" s="21" t="s">
        <v>27</v>
      </c>
      <c r="E845" s="22" t="s">
        <v>23</v>
      </c>
      <c r="F845" s="20" t="s">
        <v>27</v>
      </c>
      <c r="G845" s="20" t="s">
        <v>27</v>
      </c>
    </row>
    <row r="846" ht="22" customHeight="1" spans="1:7" x14ac:dyDescent="0.25">
      <c r="A846" s="16" t="s">
        <v>28</v>
      </c>
      <c r="B846" s="17" t="s">
        <v>68</v>
      </c>
      <c r="C846" s="17" t="s">
        <v>423</v>
      </c>
      <c r="D846" s="17" t="s">
        <v>70</v>
      </c>
      <c r="E846" s="18">
        <v>35.6</v>
      </c>
      <c r="F846" s="19" t="s">
        <v>22</v>
      </c>
      <c r="G846" s="16" t="s">
        <v>23</v>
      </c>
    </row>
    <row r="847" ht="20" customHeight="1" spans="1:7" x14ac:dyDescent="0.25">
      <c r="A847" s="20" t="s">
        <v>30</v>
      </c>
      <c r="B847" s="21" t="s">
        <v>25</v>
      </c>
      <c r="C847" s="21" t="s">
        <v>26</v>
      </c>
      <c r="D847" s="21" t="s">
        <v>27</v>
      </c>
      <c r="E847" s="22" t="s">
        <v>23</v>
      </c>
      <c r="F847" s="20" t="s">
        <v>27</v>
      </c>
      <c r="G847" s="20" t="s">
        <v>27</v>
      </c>
    </row>
    <row r="848" ht="22" customHeight="1" spans="1:7" x14ac:dyDescent="0.25">
      <c r="A848" s="16" t="s">
        <v>31</v>
      </c>
      <c r="B848" s="17" t="s">
        <v>56</v>
      </c>
      <c r="C848" s="17" t="s">
        <v>424</v>
      </c>
      <c r="D848" s="17" t="s">
        <v>58</v>
      </c>
      <c r="E848" s="18">
        <v>56.1</v>
      </c>
      <c r="F848" s="19" t="s">
        <v>22</v>
      </c>
      <c r="G848" s="16" t="s">
        <v>23</v>
      </c>
    </row>
    <row r="849" ht="20" customHeight="1" spans="1:7" x14ac:dyDescent="0.25">
      <c r="A849" s="20" t="s">
        <v>35</v>
      </c>
      <c r="B849" s="21" t="s">
        <v>25</v>
      </c>
      <c r="C849" s="21" t="s">
        <v>26</v>
      </c>
      <c r="D849" s="21" t="s">
        <v>27</v>
      </c>
      <c r="E849" s="22" t="s">
        <v>23</v>
      </c>
      <c r="F849" s="20" t="s">
        <v>27</v>
      </c>
      <c r="G849" s="20" t="s">
        <v>27</v>
      </c>
    </row>
    <row r="850" ht="22" customHeight="1" spans="1:7" x14ac:dyDescent="0.25">
      <c r="A850" s="16" t="s">
        <v>36</v>
      </c>
      <c r="B850" s="17" t="s">
        <v>56</v>
      </c>
      <c r="C850" s="17" t="s">
        <v>425</v>
      </c>
      <c r="D850" s="17" t="s">
        <v>58</v>
      </c>
      <c r="E850" s="18">
        <v>50.5</v>
      </c>
      <c r="F850" s="19" t="s">
        <v>22</v>
      </c>
      <c r="G850" s="16" t="s">
        <v>23</v>
      </c>
    </row>
    <row r="851" ht="24" customHeight="1" spans="1:7" x14ac:dyDescent="0.25">
      <c r="A851" s="23" t="s">
        <v>38</v>
      </c>
      <c r="B851" s="23" t="s">
        <v>39</v>
      </c>
      <c r="C851" s="24" t="s">
        <v>40</v>
      </c>
      <c r="D851" s="24" t="s">
        <v>41</v>
      </c>
      <c r="E851" s="25">
        <f>SUM(E844,E846,E848,E850)</f>
        <v>212</v>
      </c>
      <c r="F851" s="23" t="str">
        <f>ROUND(E851/60, 1) &amp; " Saat"</f>
        <v>3.5 Saat</v>
      </c>
      <c r="G851" s="23" t="str">
        <f>COUNTIF(G844:G850, "X") &amp; "/4"</f>
        <v>0/4</v>
      </c>
    </row>
    <row r="852" ht="22" customHeight="1" spans="1:7" x14ac:dyDescent="0.25">
      <c r="A852" s="15" t="s">
        <v>74</v>
      </c>
      <c r="B852" s="15"/>
      <c r="C852" s="15"/>
      <c r="D852" s="15"/>
      <c r="E852" s="15"/>
      <c r="F852" s="15"/>
      <c r="G852" s="15"/>
    </row>
    <row r="853" ht="22" customHeight="1" spans="1:7" x14ac:dyDescent="0.25">
      <c r="A853" s="16" t="s">
        <v>18</v>
      </c>
      <c r="B853" s="17" t="s">
        <v>47</v>
      </c>
      <c r="C853" s="17" t="s">
        <v>426</v>
      </c>
      <c r="D853" s="17" t="s">
        <v>49</v>
      </c>
      <c r="E853" s="18">
        <v>33.3</v>
      </c>
      <c r="F853" s="19" t="s">
        <v>22</v>
      </c>
      <c r="G853" s="16" t="s">
        <v>23</v>
      </c>
    </row>
    <row r="854" ht="20" customHeight="1" spans="1:7" x14ac:dyDescent="0.25">
      <c r="A854" s="20" t="s">
        <v>24</v>
      </c>
      <c r="B854" s="21" t="s">
        <v>25</v>
      </c>
      <c r="C854" s="21" t="s">
        <v>26</v>
      </c>
      <c r="D854" s="21" t="s">
        <v>27</v>
      </c>
      <c r="E854" s="22" t="s">
        <v>23</v>
      </c>
      <c r="F854" s="20" t="s">
        <v>27</v>
      </c>
      <c r="G854" s="20" t="s">
        <v>27</v>
      </c>
    </row>
    <row r="855" ht="22" customHeight="1" spans="1:7" x14ac:dyDescent="0.25">
      <c r="A855" s="16" t="s">
        <v>28</v>
      </c>
      <c r="B855" s="17" t="s">
        <v>47</v>
      </c>
      <c r="C855" s="17" t="s">
        <v>427</v>
      </c>
      <c r="D855" s="17" t="s">
        <v>49</v>
      </c>
      <c r="E855" s="18">
        <v>46.3</v>
      </c>
      <c r="F855" s="19" t="s">
        <v>22</v>
      </c>
      <c r="G855" s="16" t="s">
        <v>23</v>
      </c>
    </row>
    <row r="856" ht="20" customHeight="1" spans="1:7" x14ac:dyDescent="0.25">
      <c r="A856" s="20" t="s">
        <v>30</v>
      </c>
      <c r="B856" s="21" t="s">
        <v>25</v>
      </c>
      <c r="C856" s="21" t="s">
        <v>26</v>
      </c>
      <c r="D856" s="21" t="s">
        <v>27</v>
      </c>
      <c r="E856" s="22" t="s">
        <v>23</v>
      </c>
      <c r="F856" s="20" t="s">
        <v>27</v>
      </c>
      <c r="G856" s="20" t="s">
        <v>27</v>
      </c>
    </row>
    <row r="857" ht="22" customHeight="1" spans="1:7" x14ac:dyDescent="0.25">
      <c r="A857" s="16" t="s">
        <v>31</v>
      </c>
      <c r="B857" s="17" t="s">
        <v>52</v>
      </c>
      <c r="C857" s="17" t="s">
        <v>428</v>
      </c>
      <c r="D857" s="17" t="s">
        <v>54</v>
      </c>
      <c r="E857" s="18">
        <v>45</v>
      </c>
      <c r="F857" s="19" t="s">
        <v>22</v>
      </c>
      <c r="G857" s="16" t="s">
        <v>23</v>
      </c>
    </row>
    <row r="858" ht="20" customHeight="1" spans="1:7" x14ac:dyDescent="0.25">
      <c r="A858" s="20" t="s">
        <v>35</v>
      </c>
      <c r="B858" s="21" t="s">
        <v>25</v>
      </c>
      <c r="C858" s="21" t="s">
        <v>26</v>
      </c>
      <c r="D858" s="21" t="s">
        <v>27</v>
      </c>
      <c r="E858" s="22" t="s">
        <v>23</v>
      </c>
      <c r="F858" s="20" t="s">
        <v>27</v>
      </c>
      <c r="G858" s="20" t="s">
        <v>27</v>
      </c>
    </row>
    <row r="859" ht="22" customHeight="1" spans="1:7" x14ac:dyDescent="0.25">
      <c r="A859" s="16" t="s">
        <v>36</v>
      </c>
      <c r="B859" s="17" t="s">
        <v>52</v>
      </c>
      <c r="C859" s="17" t="s">
        <v>429</v>
      </c>
      <c r="D859" s="17" t="s">
        <v>54</v>
      </c>
      <c r="E859" s="18">
        <v>27.2</v>
      </c>
      <c r="F859" s="19" t="s">
        <v>22</v>
      </c>
      <c r="G859" s="16" t="s">
        <v>23</v>
      </c>
    </row>
    <row r="860" ht="24" customHeight="1" spans="1:7" x14ac:dyDescent="0.25">
      <c r="A860" s="23" t="s">
        <v>38</v>
      </c>
      <c r="B860" s="23" t="s">
        <v>39</v>
      </c>
      <c r="C860" s="24" t="s">
        <v>40</v>
      </c>
      <c r="D860" s="24" t="s">
        <v>41</v>
      </c>
      <c r="E860" s="25">
        <f>SUM(E853,E855,E857,E859)</f>
        <v>151.8</v>
      </c>
      <c r="F860" s="23" t="str">
        <f>ROUND(E860/60, 1) &amp; " Saat"</f>
        <v>2.5 Saat</v>
      </c>
      <c r="G860" s="23" t="str">
        <f>COUNTIF(G853:G859, "X") &amp; "/4"</f>
        <v>0/4</v>
      </c>
    </row>
    <row r="861" ht="28" customHeight="1" spans="1:7" x14ac:dyDescent="0.25">
      <c r="A861" s="26" t="s">
        <v>79</v>
      </c>
      <c r="B861" s="26"/>
      <c r="C861" s="26"/>
      <c r="D861" s="26"/>
      <c r="E861" s="26"/>
      <c r="F861" s="26"/>
      <c r="G861" s="26"/>
    </row>
    <row r="862" ht="8" customHeight="1" x14ac:dyDescent="0.25"/>
    <row r="863" ht="25" customHeight="1" spans="1:7" x14ac:dyDescent="0.25">
      <c r="A863" s="14" t="s">
        <v>430</v>
      </c>
      <c r="B863" s="14"/>
      <c r="C863" s="14"/>
      <c r="D863" s="14"/>
      <c r="E863" s="14"/>
      <c r="F863" s="14"/>
      <c r="G863" s="14"/>
    </row>
    <row r="864" ht="22" customHeight="1" spans="1:7" x14ac:dyDescent="0.25">
      <c r="A864" s="15" t="s">
        <v>17</v>
      </c>
      <c r="B864" s="15"/>
      <c r="C864" s="15"/>
      <c r="D864" s="15"/>
      <c r="E864" s="15"/>
      <c r="F864" s="15"/>
      <c r="G864" s="15"/>
    </row>
    <row r="865" ht="22" customHeight="1" spans="1:7" x14ac:dyDescent="0.25">
      <c r="A865" s="16" t="s">
        <v>18</v>
      </c>
      <c r="B865" s="17" t="s">
        <v>19</v>
      </c>
      <c r="C865" s="17" t="s">
        <v>431</v>
      </c>
      <c r="D865" s="17" t="s">
        <v>21</v>
      </c>
      <c r="E865" s="18">
        <v>18.5</v>
      </c>
      <c r="F865" s="19" t="s">
        <v>22</v>
      </c>
      <c r="G865" s="16" t="s">
        <v>23</v>
      </c>
    </row>
    <row r="866" ht="20" customHeight="1" spans="1:7" x14ac:dyDescent="0.25">
      <c r="A866" s="20" t="s">
        <v>24</v>
      </c>
      <c r="B866" s="21" t="s">
        <v>25</v>
      </c>
      <c r="C866" s="21" t="s">
        <v>26</v>
      </c>
      <c r="D866" s="21" t="s">
        <v>27</v>
      </c>
      <c r="E866" s="22" t="s">
        <v>23</v>
      </c>
      <c r="F866" s="20" t="s">
        <v>27</v>
      </c>
      <c r="G866" s="20" t="s">
        <v>27</v>
      </c>
    </row>
    <row r="867" ht="22" customHeight="1" spans="1:7" x14ac:dyDescent="0.25">
      <c r="A867" s="16" t="s">
        <v>28</v>
      </c>
      <c r="B867" s="17" t="s">
        <v>19</v>
      </c>
      <c r="C867" s="17" t="s">
        <v>432</v>
      </c>
      <c r="D867" s="17" t="s">
        <v>21</v>
      </c>
      <c r="E867" s="18">
        <v>19.7</v>
      </c>
      <c r="F867" s="19" t="s">
        <v>22</v>
      </c>
      <c r="G867" s="16" t="s">
        <v>23</v>
      </c>
    </row>
    <row r="868" ht="20" customHeight="1" spans="1:7" x14ac:dyDescent="0.25">
      <c r="A868" s="20" t="s">
        <v>30</v>
      </c>
      <c r="B868" s="21" t="s">
        <v>25</v>
      </c>
      <c r="C868" s="21" t="s">
        <v>26</v>
      </c>
      <c r="D868" s="21" t="s">
        <v>27</v>
      </c>
      <c r="E868" s="22" t="s">
        <v>23</v>
      </c>
      <c r="F868" s="20" t="s">
        <v>27</v>
      </c>
      <c r="G868" s="20" t="s">
        <v>27</v>
      </c>
    </row>
    <row r="869" ht="22" customHeight="1" spans="1:7" x14ac:dyDescent="0.25">
      <c r="A869" s="16" t="s">
        <v>31</v>
      </c>
      <c r="B869" s="17" t="s">
        <v>32</v>
      </c>
      <c r="C869" s="17" t="s">
        <v>433</v>
      </c>
      <c r="D869" s="17" t="s">
        <v>34</v>
      </c>
      <c r="E869" s="18">
        <v>31.8</v>
      </c>
      <c r="F869" s="19" t="s">
        <v>22</v>
      </c>
      <c r="G869" s="16" t="s">
        <v>23</v>
      </c>
    </row>
    <row r="870" ht="20" customHeight="1" spans="1:7" x14ac:dyDescent="0.25">
      <c r="A870" s="20" t="s">
        <v>35</v>
      </c>
      <c r="B870" s="21" t="s">
        <v>25</v>
      </c>
      <c r="C870" s="21" t="s">
        <v>26</v>
      </c>
      <c r="D870" s="21" t="s">
        <v>27</v>
      </c>
      <c r="E870" s="22" t="s">
        <v>23</v>
      </c>
      <c r="F870" s="20" t="s">
        <v>27</v>
      </c>
      <c r="G870" s="20" t="s">
        <v>27</v>
      </c>
    </row>
    <row r="871" ht="22" customHeight="1" spans="1:7" x14ac:dyDescent="0.25">
      <c r="A871" s="16" t="s">
        <v>36</v>
      </c>
      <c r="B871" s="17" t="s">
        <v>32</v>
      </c>
      <c r="C871" s="17" t="s">
        <v>434</v>
      </c>
      <c r="D871" s="17" t="s">
        <v>34</v>
      </c>
      <c r="E871" s="18">
        <v>42.7</v>
      </c>
      <c r="F871" s="19" t="s">
        <v>22</v>
      </c>
      <c r="G871" s="16" t="s">
        <v>23</v>
      </c>
    </row>
    <row r="872" ht="24" customHeight="1" spans="1:7" x14ac:dyDescent="0.25">
      <c r="A872" s="23" t="s">
        <v>38</v>
      </c>
      <c r="B872" s="23" t="s">
        <v>39</v>
      </c>
      <c r="C872" s="24" t="s">
        <v>40</v>
      </c>
      <c r="D872" s="24" t="s">
        <v>41</v>
      </c>
      <c r="E872" s="25">
        <f>SUM(E865,E867,E869,E871)</f>
        <v>112.7</v>
      </c>
      <c r="F872" s="23" t="str">
        <f>ROUND(E872/60, 1) &amp; " Saat"</f>
        <v>1.9 Saat</v>
      </c>
      <c r="G872" s="23" t="str">
        <f>COUNTIF(G865:G871, "X") &amp; "/4"</f>
        <v>0/4</v>
      </c>
    </row>
    <row r="873" ht="22" customHeight="1" spans="1:7" x14ac:dyDescent="0.25">
      <c r="A873" s="15" t="s">
        <v>42</v>
      </c>
      <c r="B873" s="15"/>
      <c r="C873" s="15"/>
      <c r="D873" s="15"/>
      <c r="E873" s="15"/>
      <c r="F873" s="15"/>
      <c r="G873" s="15"/>
    </row>
    <row r="874" ht="22" customHeight="1" spans="1:7" x14ac:dyDescent="0.25">
      <c r="A874" s="16" t="s">
        <v>18</v>
      </c>
      <c r="B874" s="17" t="s">
        <v>43</v>
      </c>
      <c r="C874" s="17" t="s">
        <v>435</v>
      </c>
      <c r="D874" s="17" t="s">
        <v>45</v>
      </c>
      <c r="E874" s="18">
        <v>67</v>
      </c>
      <c r="F874" s="19" t="s">
        <v>22</v>
      </c>
      <c r="G874" s="16" t="s">
        <v>23</v>
      </c>
    </row>
    <row r="875" ht="20" customHeight="1" spans="1:7" x14ac:dyDescent="0.25">
      <c r="A875" s="20" t="s">
        <v>24</v>
      </c>
      <c r="B875" s="21" t="s">
        <v>25</v>
      </c>
      <c r="C875" s="21" t="s">
        <v>26</v>
      </c>
      <c r="D875" s="21" t="s">
        <v>27</v>
      </c>
      <c r="E875" s="22" t="s">
        <v>23</v>
      </c>
      <c r="F875" s="20" t="s">
        <v>27</v>
      </c>
      <c r="G875" s="20" t="s">
        <v>27</v>
      </c>
    </row>
    <row r="876" ht="22" customHeight="1" spans="1:7" x14ac:dyDescent="0.25">
      <c r="A876" s="16" t="s">
        <v>28</v>
      </c>
      <c r="B876" s="17" t="s">
        <v>43</v>
      </c>
      <c r="C876" s="17" t="s">
        <v>436</v>
      </c>
      <c r="D876" s="17" t="s">
        <v>45</v>
      </c>
      <c r="E876" s="18">
        <v>40</v>
      </c>
      <c r="F876" s="19" t="s">
        <v>22</v>
      </c>
      <c r="G876" s="16" t="s">
        <v>23</v>
      </c>
    </row>
    <row r="877" ht="20" customHeight="1" spans="1:7" x14ac:dyDescent="0.25">
      <c r="A877" s="20" t="s">
        <v>30</v>
      </c>
      <c r="B877" s="21" t="s">
        <v>25</v>
      </c>
      <c r="C877" s="21" t="s">
        <v>26</v>
      </c>
      <c r="D877" s="21" t="s">
        <v>27</v>
      </c>
      <c r="E877" s="22" t="s">
        <v>23</v>
      </c>
      <c r="F877" s="20" t="s">
        <v>27</v>
      </c>
      <c r="G877" s="20" t="s">
        <v>27</v>
      </c>
    </row>
    <row r="878" ht="22" customHeight="1" spans="1:7" x14ac:dyDescent="0.25">
      <c r="A878" s="16" t="s">
        <v>31</v>
      </c>
      <c r="B878" s="17" t="s">
        <v>47</v>
      </c>
      <c r="C878" s="17" t="s">
        <v>437</v>
      </c>
      <c r="D878" s="17" t="s">
        <v>49</v>
      </c>
      <c r="E878" s="18">
        <v>39.1</v>
      </c>
      <c r="F878" s="19" t="s">
        <v>22</v>
      </c>
      <c r="G878" s="16" t="s">
        <v>23</v>
      </c>
    </row>
    <row r="879" ht="20" customHeight="1" spans="1:7" x14ac:dyDescent="0.25">
      <c r="A879" s="20" t="s">
        <v>35</v>
      </c>
      <c r="B879" s="21" t="s">
        <v>25</v>
      </c>
      <c r="C879" s="21" t="s">
        <v>26</v>
      </c>
      <c r="D879" s="21" t="s">
        <v>27</v>
      </c>
      <c r="E879" s="22" t="s">
        <v>23</v>
      </c>
      <c r="F879" s="20" t="s">
        <v>27</v>
      </c>
      <c r="G879" s="20" t="s">
        <v>27</v>
      </c>
    </row>
    <row r="880" ht="22" customHeight="1" spans="1:7" x14ac:dyDescent="0.25">
      <c r="A880" s="16" t="s">
        <v>36</v>
      </c>
      <c r="B880" s="17" t="s">
        <v>47</v>
      </c>
      <c r="C880" s="17" t="s">
        <v>438</v>
      </c>
      <c r="D880" s="17" t="s">
        <v>49</v>
      </c>
      <c r="E880" s="18">
        <v>29</v>
      </c>
      <c r="F880" s="19" t="s">
        <v>22</v>
      </c>
      <c r="G880" s="16" t="s">
        <v>23</v>
      </c>
    </row>
    <row r="881" ht="24" customHeight="1" spans="1:7" x14ac:dyDescent="0.25">
      <c r="A881" s="23" t="s">
        <v>38</v>
      </c>
      <c r="B881" s="23" t="s">
        <v>39</v>
      </c>
      <c r="C881" s="24" t="s">
        <v>40</v>
      </c>
      <c r="D881" s="24" t="s">
        <v>41</v>
      </c>
      <c r="E881" s="25">
        <f>SUM(E874,E876,E878,E880)</f>
        <v>175.1</v>
      </c>
      <c r="F881" s="23" t="str">
        <f>ROUND(E881/60, 1) &amp; " Saat"</f>
        <v>2.9 Saat</v>
      </c>
      <c r="G881" s="23" t="str">
        <f>COUNTIF(G874:G880, "X") &amp; "/4"</f>
        <v>0/4</v>
      </c>
    </row>
    <row r="882" ht="22" customHeight="1" spans="1:7" x14ac:dyDescent="0.25">
      <c r="A882" s="15" t="s">
        <v>51</v>
      </c>
      <c r="B882" s="15"/>
      <c r="C882" s="15"/>
      <c r="D882" s="15"/>
      <c r="E882" s="15"/>
      <c r="F882" s="15"/>
      <c r="G882" s="15"/>
    </row>
    <row r="883" ht="22" customHeight="1" spans="1:7" x14ac:dyDescent="0.25">
      <c r="A883" s="16" t="s">
        <v>18</v>
      </c>
      <c r="B883" s="17" t="s">
        <v>52</v>
      </c>
      <c r="C883" s="17" t="s">
        <v>439</v>
      </c>
      <c r="D883" s="17" t="s">
        <v>54</v>
      </c>
      <c r="E883" s="18">
        <v>46.1</v>
      </c>
      <c r="F883" s="19" t="s">
        <v>22</v>
      </c>
      <c r="G883" s="16" t="s">
        <v>23</v>
      </c>
    </row>
    <row r="884" ht="20" customHeight="1" spans="1:7" x14ac:dyDescent="0.25">
      <c r="A884" s="20" t="s">
        <v>24</v>
      </c>
      <c r="B884" s="21" t="s">
        <v>25</v>
      </c>
      <c r="C884" s="21" t="s">
        <v>26</v>
      </c>
      <c r="D884" s="21" t="s">
        <v>27</v>
      </c>
      <c r="E884" s="22" t="s">
        <v>23</v>
      </c>
      <c r="F884" s="20" t="s">
        <v>27</v>
      </c>
      <c r="G884" s="20" t="s">
        <v>27</v>
      </c>
    </row>
    <row r="885" ht="22" customHeight="1" spans="1:7" x14ac:dyDescent="0.25">
      <c r="A885" s="16" t="s">
        <v>28</v>
      </c>
      <c r="B885" s="17" t="s">
        <v>52</v>
      </c>
      <c r="C885" s="17" t="s">
        <v>440</v>
      </c>
      <c r="D885" s="17" t="s">
        <v>54</v>
      </c>
      <c r="E885" s="18">
        <v>37.5</v>
      </c>
      <c r="F885" s="19" t="s">
        <v>22</v>
      </c>
      <c r="G885" s="16" t="s">
        <v>23</v>
      </c>
    </row>
    <row r="886" ht="20" customHeight="1" spans="1:7" x14ac:dyDescent="0.25">
      <c r="A886" s="20" t="s">
        <v>30</v>
      </c>
      <c r="B886" s="21" t="s">
        <v>25</v>
      </c>
      <c r="C886" s="21" t="s">
        <v>26</v>
      </c>
      <c r="D886" s="21" t="s">
        <v>27</v>
      </c>
      <c r="E886" s="22" t="s">
        <v>23</v>
      </c>
      <c r="F886" s="20" t="s">
        <v>27</v>
      </c>
      <c r="G886" s="20" t="s">
        <v>27</v>
      </c>
    </row>
    <row r="887" ht="22" customHeight="1" spans="1:7" x14ac:dyDescent="0.25">
      <c r="A887" s="16" t="s">
        <v>31</v>
      </c>
      <c r="B887" s="17" t="s">
        <v>56</v>
      </c>
      <c r="C887" s="17" t="s">
        <v>441</v>
      </c>
      <c r="D887" s="17" t="s">
        <v>58</v>
      </c>
      <c r="E887" s="18">
        <v>48.5</v>
      </c>
      <c r="F887" s="19" t="s">
        <v>22</v>
      </c>
      <c r="G887" s="16" t="s">
        <v>23</v>
      </c>
    </row>
    <row r="888" ht="20" customHeight="1" spans="1:7" x14ac:dyDescent="0.25">
      <c r="A888" s="20" t="s">
        <v>35</v>
      </c>
      <c r="B888" s="21" t="s">
        <v>25</v>
      </c>
      <c r="C888" s="21" t="s">
        <v>26</v>
      </c>
      <c r="D888" s="21" t="s">
        <v>27</v>
      </c>
      <c r="E888" s="22" t="s">
        <v>23</v>
      </c>
      <c r="F888" s="20" t="s">
        <v>27</v>
      </c>
      <c r="G888" s="20" t="s">
        <v>27</v>
      </c>
    </row>
    <row r="889" ht="22" customHeight="1" spans="1:7" x14ac:dyDescent="0.25">
      <c r="A889" s="16" t="s">
        <v>36</v>
      </c>
      <c r="B889" s="17" t="s">
        <v>56</v>
      </c>
      <c r="C889" s="17" t="s">
        <v>442</v>
      </c>
      <c r="D889" s="17" t="s">
        <v>58</v>
      </c>
      <c r="E889" s="18">
        <v>27.8</v>
      </c>
      <c r="F889" s="19" t="s">
        <v>22</v>
      </c>
      <c r="G889" s="16" t="s">
        <v>23</v>
      </c>
    </row>
    <row r="890" ht="24" customHeight="1" spans="1:7" x14ac:dyDescent="0.25">
      <c r="A890" s="23" t="s">
        <v>38</v>
      </c>
      <c r="B890" s="23" t="s">
        <v>39</v>
      </c>
      <c r="C890" s="24" t="s">
        <v>40</v>
      </c>
      <c r="D890" s="24" t="s">
        <v>41</v>
      </c>
      <c r="E890" s="25">
        <f>SUM(E883,E885,E887,E889)</f>
        <v>159.9</v>
      </c>
      <c r="F890" s="23" t="str">
        <f>ROUND(E890/60, 1) &amp; " Saat"</f>
        <v>2.7 Saat</v>
      </c>
      <c r="G890" s="23" t="str">
        <f>COUNTIF(G883:G889, "X") &amp; "/4"</f>
        <v>0/4</v>
      </c>
    </row>
    <row r="891" ht="22" customHeight="1" spans="1:7" x14ac:dyDescent="0.25">
      <c r="A891" s="15" t="s">
        <v>60</v>
      </c>
      <c r="B891" s="15"/>
      <c r="C891" s="15"/>
      <c r="D891" s="15"/>
      <c r="E891" s="15"/>
      <c r="F891" s="15"/>
      <c r="G891" s="15"/>
    </row>
    <row r="892" ht="22" customHeight="1" spans="1:7" x14ac:dyDescent="0.25">
      <c r="A892" s="16" t="s">
        <v>18</v>
      </c>
      <c r="B892" s="17" t="s">
        <v>43</v>
      </c>
      <c r="C892" s="17" t="s">
        <v>443</v>
      </c>
      <c r="D892" s="17" t="s">
        <v>45</v>
      </c>
      <c r="E892" s="18">
        <v>48.6</v>
      </c>
      <c r="F892" s="19" t="s">
        <v>22</v>
      </c>
      <c r="G892" s="16" t="s">
        <v>23</v>
      </c>
    </row>
    <row r="893" ht="20" customHeight="1" spans="1:7" x14ac:dyDescent="0.25">
      <c r="A893" s="20" t="s">
        <v>24</v>
      </c>
      <c r="B893" s="21" t="s">
        <v>25</v>
      </c>
      <c r="C893" s="21" t="s">
        <v>26</v>
      </c>
      <c r="D893" s="21" t="s">
        <v>27</v>
      </c>
      <c r="E893" s="22" t="s">
        <v>23</v>
      </c>
      <c r="F893" s="20" t="s">
        <v>27</v>
      </c>
      <c r="G893" s="20" t="s">
        <v>27</v>
      </c>
    </row>
    <row r="894" ht="22" customHeight="1" spans="1:7" x14ac:dyDescent="0.25">
      <c r="A894" s="16" t="s">
        <v>28</v>
      </c>
      <c r="B894" s="17" t="s">
        <v>43</v>
      </c>
      <c r="C894" s="17" t="s">
        <v>444</v>
      </c>
      <c r="D894" s="17" t="s">
        <v>45</v>
      </c>
      <c r="E894" s="18">
        <v>41.7</v>
      </c>
      <c r="F894" s="19" t="s">
        <v>22</v>
      </c>
      <c r="G894" s="16" t="s">
        <v>23</v>
      </c>
    </row>
    <row r="895" ht="20" customHeight="1" spans="1:7" x14ac:dyDescent="0.25">
      <c r="A895" s="20" t="s">
        <v>30</v>
      </c>
      <c r="B895" s="21" t="s">
        <v>25</v>
      </c>
      <c r="C895" s="21" t="s">
        <v>26</v>
      </c>
      <c r="D895" s="21" t="s">
        <v>27</v>
      </c>
      <c r="E895" s="22" t="s">
        <v>23</v>
      </c>
      <c r="F895" s="20" t="s">
        <v>27</v>
      </c>
      <c r="G895" s="20" t="s">
        <v>27</v>
      </c>
    </row>
    <row r="896" ht="22" customHeight="1" spans="1:7" x14ac:dyDescent="0.25">
      <c r="A896" s="16" t="s">
        <v>31</v>
      </c>
      <c r="B896" s="17" t="s">
        <v>63</v>
      </c>
      <c r="C896" s="17" t="s">
        <v>445</v>
      </c>
      <c r="D896" s="17" t="s">
        <v>65</v>
      </c>
      <c r="E896" s="18">
        <v>20.9</v>
      </c>
      <c r="F896" s="19" t="s">
        <v>22</v>
      </c>
      <c r="G896" s="16" t="s">
        <v>23</v>
      </c>
    </row>
    <row r="897" ht="20" customHeight="1" spans="1:7" x14ac:dyDescent="0.25">
      <c r="A897" s="20" t="s">
        <v>35</v>
      </c>
      <c r="B897" s="21" t="s">
        <v>25</v>
      </c>
      <c r="C897" s="21" t="s">
        <v>26</v>
      </c>
      <c r="D897" s="21" t="s">
        <v>27</v>
      </c>
      <c r="E897" s="22" t="s">
        <v>23</v>
      </c>
      <c r="F897" s="20" t="s">
        <v>27</v>
      </c>
      <c r="G897" s="20" t="s">
        <v>27</v>
      </c>
    </row>
    <row r="898" ht="22" customHeight="1" spans="1:7" x14ac:dyDescent="0.25">
      <c r="A898" s="16" t="s">
        <v>36</v>
      </c>
      <c r="B898" s="17" t="s">
        <v>63</v>
      </c>
      <c r="C898" s="17" t="s">
        <v>446</v>
      </c>
      <c r="D898" s="17" t="s">
        <v>65</v>
      </c>
      <c r="E898" s="18">
        <v>15</v>
      </c>
      <c r="F898" s="19" t="s">
        <v>22</v>
      </c>
      <c r="G898" s="16" t="s">
        <v>23</v>
      </c>
    </row>
    <row r="899" ht="24" customHeight="1" spans="1:7" x14ac:dyDescent="0.25">
      <c r="A899" s="23" t="s">
        <v>38</v>
      </c>
      <c r="B899" s="23" t="s">
        <v>39</v>
      </c>
      <c r="C899" s="24" t="s">
        <v>40</v>
      </c>
      <c r="D899" s="24" t="s">
        <v>41</v>
      </c>
      <c r="E899" s="25">
        <f>SUM(E892,E894,E896,E898)</f>
        <v>126.2</v>
      </c>
      <c r="F899" s="23" t="str">
        <f>ROUND(E899/60, 1) &amp; " Saat"</f>
        <v>2.1 Saat</v>
      </c>
      <c r="G899" s="23" t="str">
        <f>COUNTIF(G892:G898, "X") &amp; "/4"</f>
        <v>0/4</v>
      </c>
    </row>
    <row r="900" ht="22" customHeight="1" spans="1:7" x14ac:dyDescent="0.25">
      <c r="A900" s="15" t="s">
        <v>67</v>
      </c>
      <c r="B900" s="15"/>
      <c r="C900" s="15"/>
      <c r="D900" s="15"/>
      <c r="E900" s="15"/>
      <c r="F900" s="15"/>
      <c r="G900" s="15"/>
    </row>
    <row r="901" ht="22" customHeight="1" spans="1:7" x14ac:dyDescent="0.25">
      <c r="A901" s="16" t="s">
        <v>18</v>
      </c>
      <c r="B901" s="17" t="s">
        <v>68</v>
      </c>
      <c r="C901" s="17" t="s">
        <v>447</v>
      </c>
      <c r="D901" s="17" t="s">
        <v>70</v>
      </c>
      <c r="E901" s="18">
        <v>41.9</v>
      </c>
      <c r="F901" s="19" t="s">
        <v>22</v>
      </c>
      <c r="G901" s="16" t="s">
        <v>23</v>
      </c>
    </row>
    <row r="902" ht="20" customHeight="1" spans="1:7" x14ac:dyDescent="0.25">
      <c r="A902" s="20" t="s">
        <v>24</v>
      </c>
      <c r="B902" s="21" t="s">
        <v>25</v>
      </c>
      <c r="C902" s="21" t="s">
        <v>26</v>
      </c>
      <c r="D902" s="21" t="s">
        <v>27</v>
      </c>
      <c r="E902" s="22" t="s">
        <v>23</v>
      </c>
      <c r="F902" s="20" t="s">
        <v>27</v>
      </c>
      <c r="G902" s="20" t="s">
        <v>27</v>
      </c>
    </row>
    <row r="903" ht="22" customHeight="1" spans="1:7" x14ac:dyDescent="0.25">
      <c r="A903" s="16" t="s">
        <v>28</v>
      </c>
      <c r="B903" s="17" t="s">
        <v>68</v>
      </c>
      <c r="C903" s="17" t="s">
        <v>448</v>
      </c>
      <c r="D903" s="17" t="s">
        <v>70</v>
      </c>
      <c r="E903" s="18">
        <v>21.9</v>
      </c>
      <c r="F903" s="19" t="s">
        <v>22</v>
      </c>
      <c r="G903" s="16" t="s">
        <v>23</v>
      </c>
    </row>
    <row r="904" ht="20" customHeight="1" spans="1:7" x14ac:dyDescent="0.25">
      <c r="A904" s="20" t="s">
        <v>30</v>
      </c>
      <c r="B904" s="21" t="s">
        <v>25</v>
      </c>
      <c r="C904" s="21" t="s">
        <v>26</v>
      </c>
      <c r="D904" s="21" t="s">
        <v>27</v>
      </c>
      <c r="E904" s="22" t="s">
        <v>23</v>
      </c>
      <c r="F904" s="20" t="s">
        <v>27</v>
      </c>
      <c r="G904" s="20" t="s">
        <v>27</v>
      </c>
    </row>
    <row r="905" ht="22" customHeight="1" spans="1:7" x14ac:dyDescent="0.25">
      <c r="A905" s="16" t="s">
        <v>31</v>
      </c>
      <c r="B905" s="17" t="s">
        <v>449</v>
      </c>
      <c r="C905" s="17" t="s">
        <v>450</v>
      </c>
      <c r="D905" s="17" t="s">
        <v>34</v>
      </c>
      <c r="E905" s="18">
        <v>13.5</v>
      </c>
      <c r="F905" s="19" t="s">
        <v>22</v>
      </c>
      <c r="G905" s="16" t="s">
        <v>23</v>
      </c>
    </row>
    <row r="906" ht="20" customHeight="1" spans="1:7" x14ac:dyDescent="0.25">
      <c r="A906" s="20" t="s">
        <v>35</v>
      </c>
      <c r="B906" s="21" t="s">
        <v>25</v>
      </c>
      <c r="C906" s="21" t="s">
        <v>26</v>
      </c>
      <c r="D906" s="21" t="s">
        <v>27</v>
      </c>
      <c r="E906" s="22" t="s">
        <v>23</v>
      </c>
      <c r="F906" s="20" t="s">
        <v>27</v>
      </c>
      <c r="G906" s="20" t="s">
        <v>27</v>
      </c>
    </row>
    <row r="907" ht="22" customHeight="1" spans="1:7" x14ac:dyDescent="0.25">
      <c r="A907" s="16" t="s">
        <v>36</v>
      </c>
      <c r="B907" s="17" t="s">
        <v>449</v>
      </c>
      <c r="C907" s="17" t="s">
        <v>451</v>
      </c>
      <c r="D907" s="17" t="s">
        <v>34</v>
      </c>
      <c r="E907" s="18">
        <v>30</v>
      </c>
      <c r="F907" s="19" t="s">
        <v>22</v>
      </c>
      <c r="G907" s="16" t="s">
        <v>23</v>
      </c>
    </row>
    <row r="908" ht="24" customHeight="1" spans="1:7" x14ac:dyDescent="0.25">
      <c r="A908" s="23" t="s">
        <v>38</v>
      </c>
      <c r="B908" s="23" t="s">
        <v>39</v>
      </c>
      <c r="C908" s="24" t="s">
        <v>40</v>
      </c>
      <c r="D908" s="24" t="s">
        <v>41</v>
      </c>
      <c r="E908" s="25">
        <f>SUM(E901,E903,E905,E907)</f>
        <v>107.3</v>
      </c>
      <c r="F908" s="23" t="str">
        <f>ROUND(E908/60, 1) &amp; " Saat"</f>
        <v>1.8 Saat</v>
      </c>
      <c r="G908" s="23" t="str">
        <f>COUNTIF(G901:G907, "X") &amp; "/4"</f>
        <v>0/4</v>
      </c>
    </row>
    <row r="909" ht="22" customHeight="1" spans="1:7" x14ac:dyDescent="0.25">
      <c r="A909" s="15" t="s">
        <v>74</v>
      </c>
      <c r="B909" s="15"/>
      <c r="C909" s="15"/>
      <c r="D909" s="15"/>
      <c r="E909" s="15"/>
      <c r="F909" s="15"/>
      <c r="G909" s="15"/>
    </row>
    <row r="910" ht="22" customHeight="1" spans="1:7" x14ac:dyDescent="0.25">
      <c r="A910" s="16" t="s">
        <v>18</v>
      </c>
      <c r="B910" s="17" t="s">
        <v>47</v>
      </c>
      <c r="C910" s="17" t="s">
        <v>452</v>
      </c>
      <c r="D910" s="17" t="s">
        <v>49</v>
      </c>
      <c r="E910" s="18">
        <v>63</v>
      </c>
      <c r="F910" s="19" t="s">
        <v>22</v>
      </c>
      <c r="G910" s="16" t="s">
        <v>23</v>
      </c>
    </row>
    <row r="911" ht="20" customHeight="1" spans="1:7" x14ac:dyDescent="0.25">
      <c r="A911" s="20" t="s">
        <v>24</v>
      </c>
      <c r="B911" s="21" t="s">
        <v>25</v>
      </c>
      <c r="C911" s="21" t="s">
        <v>26</v>
      </c>
      <c r="D911" s="21" t="s">
        <v>27</v>
      </c>
      <c r="E911" s="22" t="s">
        <v>23</v>
      </c>
      <c r="F911" s="20" t="s">
        <v>27</v>
      </c>
      <c r="G911" s="20" t="s">
        <v>27</v>
      </c>
    </row>
    <row r="912" ht="22" customHeight="1" spans="1:7" x14ac:dyDescent="0.25">
      <c r="A912" s="16" t="s">
        <v>28</v>
      </c>
      <c r="B912" s="17" t="s">
        <v>47</v>
      </c>
      <c r="C912" s="17" t="s">
        <v>453</v>
      </c>
      <c r="D912" s="17" t="s">
        <v>49</v>
      </c>
      <c r="E912" s="18">
        <v>37</v>
      </c>
      <c r="F912" s="19" t="s">
        <v>22</v>
      </c>
      <c r="G912" s="16" t="s">
        <v>23</v>
      </c>
    </row>
    <row r="913" ht="20" customHeight="1" spans="1:7" x14ac:dyDescent="0.25">
      <c r="A913" s="20" t="s">
        <v>30</v>
      </c>
      <c r="B913" s="21" t="s">
        <v>25</v>
      </c>
      <c r="C913" s="21" t="s">
        <v>26</v>
      </c>
      <c r="D913" s="21" t="s">
        <v>27</v>
      </c>
      <c r="E913" s="22" t="s">
        <v>23</v>
      </c>
      <c r="F913" s="20" t="s">
        <v>27</v>
      </c>
      <c r="G913" s="20" t="s">
        <v>27</v>
      </c>
    </row>
    <row r="914" ht="22" customHeight="1" spans="1:7" x14ac:dyDescent="0.25">
      <c r="A914" s="16" t="s">
        <v>31</v>
      </c>
      <c r="B914" s="17" t="s">
        <v>52</v>
      </c>
      <c r="C914" s="17" t="s">
        <v>454</v>
      </c>
      <c r="D914" s="17" t="s">
        <v>54</v>
      </c>
      <c r="E914" s="18">
        <v>66.7</v>
      </c>
      <c r="F914" s="19" t="s">
        <v>22</v>
      </c>
      <c r="G914" s="16" t="s">
        <v>23</v>
      </c>
    </row>
    <row r="915" ht="20" customHeight="1" spans="1:7" x14ac:dyDescent="0.25">
      <c r="A915" s="20" t="s">
        <v>35</v>
      </c>
      <c r="B915" s="21" t="s">
        <v>25</v>
      </c>
      <c r="C915" s="21" t="s">
        <v>26</v>
      </c>
      <c r="D915" s="21" t="s">
        <v>27</v>
      </c>
      <c r="E915" s="22" t="s">
        <v>23</v>
      </c>
      <c r="F915" s="20" t="s">
        <v>27</v>
      </c>
      <c r="G915" s="20" t="s">
        <v>27</v>
      </c>
    </row>
    <row r="916" ht="22" customHeight="1" spans="1:7" x14ac:dyDescent="0.25">
      <c r="A916" s="16" t="s">
        <v>36</v>
      </c>
      <c r="B916" s="17" t="s">
        <v>52</v>
      </c>
      <c r="C916" s="17" t="s">
        <v>455</v>
      </c>
      <c r="D916" s="17" t="s">
        <v>54</v>
      </c>
      <c r="E916" s="18">
        <v>12.6</v>
      </c>
      <c r="F916" s="19" t="s">
        <v>22</v>
      </c>
      <c r="G916" s="16" t="s">
        <v>23</v>
      </c>
    </row>
    <row r="917" ht="24" customHeight="1" spans="1:7" x14ac:dyDescent="0.25">
      <c r="A917" s="23" t="s">
        <v>38</v>
      </c>
      <c r="B917" s="23" t="s">
        <v>39</v>
      </c>
      <c r="C917" s="24" t="s">
        <v>40</v>
      </c>
      <c r="D917" s="24" t="s">
        <v>41</v>
      </c>
      <c r="E917" s="25">
        <f>SUM(E910,E912,E914,E916)</f>
        <v>179.3</v>
      </c>
      <c r="F917" s="23" t="str">
        <f>ROUND(E917/60, 1) &amp; " Saat"</f>
        <v>3.0 Saat</v>
      </c>
      <c r="G917" s="23" t="str">
        <f>COUNTIF(G910:G916, "X") &amp; "/4"</f>
        <v>0/4</v>
      </c>
    </row>
    <row r="918" ht="28" customHeight="1" spans="1:7" x14ac:dyDescent="0.25">
      <c r="A918" s="26" t="s">
        <v>79</v>
      </c>
      <c r="B918" s="26"/>
      <c r="C918" s="26"/>
      <c r="D918" s="26"/>
      <c r="E918" s="26"/>
      <c r="F918" s="26"/>
      <c r="G918" s="26"/>
    </row>
    <row r="919" ht="8" customHeight="1" x14ac:dyDescent="0.25"/>
    <row r="920" ht="25" customHeight="1" spans="1:7" x14ac:dyDescent="0.25">
      <c r="A920" s="14" t="s">
        <v>456</v>
      </c>
      <c r="B920" s="14"/>
      <c r="C920" s="14"/>
      <c r="D920" s="14"/>
      <c r="E920" s="14"/>
      <c r="F920" s="14"/>
      <c r="G920" s="14"/>
    </row>
    <row r="921" ht="22" customHeight="1" spans="1:7" x14ac:dyDescent="0.25">
      <c r="A921" s="15" t="s">
        <v>17</v>
      </c>
      <c r="B921" s="15"/>
      <c r="C921" s="15"/>
      <c r="D921" s="15"/>
      <c r="E921" s="15"/>
      <c r="F921" s="15"/>
      <c r="G921" s="15"/>
    </row>
    <row r="922" ht="22" customHeight="1" spans="1:7" x14ac:dyDescent="0.25">
      <c r="A922" s="16" t="s">
        <v>18</v>
      </c>
      <c r="B922" s="17" t="s">
        <v>19</v>
      </c>
      <c r="C922" s="17" t="s">
        <v>457</v>
      </c>
      <c r="D922" s="17" t="s">
        <v>21</v>
      </c>
      <c r="E922" s="18">
        <v>4.4</v>
      </c>
      <c r="F922" s="19" t="s">
        <v>22</v>
      </c>
      <c r="G922" s="16" t="s">
        <v>23</v>
      </c>
    </row>
    <row r="923" ht="20" customHeight="1" spans="1:7" x14ac:dyDescent="0.25">
      <c r="A923" s="20" t="s">
        <v>24</v>
      </c>
      <c r="B923" s="21" t="s">
        <v>25</v>
      </c>
      <c r="C923" s="21" t="s">
        <v>26</v>
      </c>
      <c r="D923" s="21" t="s">
        <v>27</v>
      </c>
      <c r="E923" s="22" t="s">
        <v>23</v>
      </c>
      <c r="F923" s="20" t="s">
        <v>27</v>
      </c>
      <c r="G923" s="20" t="s">
        <v>27</v>
      </c>
    </row>
    <row r="924" ht="22" customHeight="1" spans="1:7" x14ac:dyDescent="0.25">
      <c r="A924" s="16" t="s">
        <v>28</v>
      </c>
      <c r="B924" s="17" t="s">
        <v>19</v>
      </c>
      <c r="C924" s="17" t="s">
        <v>458</v>
      </c>
      <c r="D924" s="17" t="s">
        <v>21</v>
      </c>
      <c r="E924" s="18">
        <v>33.8</v>
      </c>
      <c r="F924" s="19" t="s">
        <v>22</v>
      </c>
      <c r="G924" s="16" t="s">
        <v>23</v>
      </c>
    </row>
    <row r="925" ht="20" customHeight="1" spans="1:7" x14ac:dyDescent="0.25">
      <c r="A925" s="20" t="s">
        <v>30</v>
      </c>
      <c r="B925" s="21" t="s">
        <v>25</v>
      </c>
      <c r="C925" s="21" t="s">
        <v>26</v>
      </c>
      <c r="D925" s="21" t="s">
        <v>27</v>
      </c>
      <c r="E925" s="22" t="s">
        <v>23</v>
      </c>
      <c r="F925" s="20" t="s">
        <v>27</v>
      </c>
      <c r="G925" s="20" t="s">
        <v>27</v>
      </c>
    </row>
    <row r="926" ht="22" customHeight="1" spans="1:7" x14ac:dyDescent="0.25">
      <c r="A926" s="16" t="s">
        <v>31</v>
      </c>
      <c r="B926" s="17" t="s">
        <v>32</v>
      </c>
      <c r="C926" s="17" t="s">
        <v>459</v>
      </c>
      <c r="D926" s="17" t="s">
        <v>34</v>
      </c>
      <c r="E926" s="18">
        <v>19.3</v>
      </c>
      <c r="F926" s="19" t="s">
        <v>22</v>
      </c>
      <c r="G926" s="16" t="s">
        <v>23</v>
      </c>
    </row>
    <row r="927" ht="20" customHeight="1" spans="1:7" x14ac:dyDescent="0.25">
      <c r="A927" s="20" t="s">
        <v>35</v>
      </c>
      <c r="B927" s="21" t="s">
        <v>25</v>
      </c>
      <c r="C927" s="21" t="s">
        <v>26</v>
      </c>
      <c r="D927" s="21" t="s">
        <v>27</v>
      </c>
      <c r="E927" s="22" t="s">
        <v>23</v>
      </c>
      <c r="F927" s="20" t="s">
        <v>27</v>
      </c>
      <c r="G927" s="20" t="s">
        <v>27</v>
      </c>
    </row>
    <row r="928" ht="22" customHeight="1" spans="1:7" x14ac:dyDescent="0.25">
      <c r="A928" s="16" t="s">
        <v>36</v>
      </c>
      <c r="B928" s="17" t="s">
        <v>32</v>
      </c>
      <c r="C928" s="17" t="s">
        <v>460</v>
      </c>
      <c r="D928" s="17" t="s">
        <v>34</v>
      </c>
      <c r="E928" s="18">
        <v>35.8</v>
      </c>
      <c r="F928" s="19" t="s">
        <v>22</v>
      </c>
      <c r="G928" s="16" t="s">
        <v>23</v>
      </c>
    </row>
    <row r="929" ht="24" customHeight="1" spans="1:7" x14ac:dyDescent="0.25">
      <c r="A929" s="23" t="s">
        <v>38</v>
      </c>
      <c r="B929" s="23" t="s">
        <v>39</v>
      </c>
      <c r="C929" s="24" t="s">
        <v>40</v>
      </c>
      <c r="D929" s="24" t="s">
        <v>41</v>
      </c>
      <c r="E929" s="25">
        <f>SUM(E922,E924,E926,E928)</f>
        <v>93.3</v>
      </c>
      <c r="F929" s="23" t="str">
        <f>ROUND(E929/60, 1) &amp; " Saat"</f>
        <v>1.6 Saat</v>
      </c>
      <c r="G929" s="23" t="str">
        <f>COUNTIF(G922:G928, "X") &amp; "/4"</f>
        <v>0/4</v>
      </c>
    </row>
    <row r="930" ht="22" customHeight="1" spans="1:7" x14ac:dyDescent="0.25">
      <c r="A930" s="15" t="s">
        <v>42</v>
      </c>
      <c r="B930" s="15"/>
      <c r="C930" s="15"/>
      <c r="D930" s="15"/>
      <c r="E930" s="15"/>
      <c r="F930" s="15"/>
      <c r="G930" s="15"/>
    </row>
    <row r="931" ht="22" customHeight="1" spans="1:7" x14ac:dyDescent="0.25">
      <c r="A931" s="16" t="s">
        <v>18</v>
      </c>
      <c r="B931" s="17" t="s">
        <v>43</v>
      </c>
      <c r="C931" s="17" t="s">
        <v>461</v>
      </c>
      <c r="D931" s="17" t="s">
        <v>45</v>
      </c>
      <c r="E931" s="18">
        <v>59.2</v>
      </c>
      <c r="F931" s="19" t="s">
        <v>22</v>
      </c>
      <c r="G931" s="16" t="s">
        <v>23</v>
      </c>
    </row>
    <row r="932" ht="20" customHeight="1" spans="1:7" x14ac:dyDescent="0.25">
      <c r="A932" s="20" t="s">
        <v>24</v>
      </c>
      <c r="B932" s="21" t="s">
        <v>25</v>
      </c>
      <c r="C932" s="21" t="s">
        <v>26</v>
      </c>
      <c r="D932" s="21" t="s">
        <v>27</v>
      </c>
      <c r="E932" s="22" t="s">
        <v>23</v>
      </c>
      <c r="F932" s="20" t="s">
        <v>27</v>
      </c>
      <c r="G932" s="20" t="s">
        <v>27</v>
      </c>
    </row>
    <row r="933" ht="22" customHeight="1" spans="1:7" x14ac:dyDescent="0.25">
      <c r="A933" s="16" t="s">
        <v>28</v>
      </c>
      <c r="B933" s="17" t="s">
        <v>43</v>
      </c>
      <c r="C933" s="17" t="s">
        <v>462</v>
      </c>
      <c r="D933" s="17" t="s">
        <v>45</v>
      </c>
      <c r="E933" s="18">
        <v>48.4</v>
      </c>
      <c r="F933" s="19" t="s">
        <v>22</v>
      </c>
      <c r="G933" s="16" t="s">
        <v>23</v>
      </c>
    </row>
    <row r="934" ht="20" customHeight="1" spans="1:7" x14ac:dyDescent="0.25">
      <c r="A934" s="20" t="s">
        <v>30</v>
      </c>
      <c r="B934" s="21" t="s">
        <v>25</v>
      </c>
      <c r="C934" s="21" t="s">
        <v>26</v>
      </c>
      <c r="D934" s="21" t="s">
        <v>27</v>
      </c>
      <c r="E934" s="22" t="s">
        <v>23</v>
      </c>
      <c r="F934" s="20" t="s">
        <v>27</v>
      </c>
      <c r="G934" s="20" t="s">
        <v>27</v>
      </c>
    </row>
    <row r="935" ht="22" customHeight="1" spans="1:7" x14ac:dyDescent="0.25">
      <c r="A935" s="16" t="s">
        <v>31</v>
      </c>
      <c r="B935" s="17" t="s">
        <v>47</v>
      </c>
      <c r="C935" s="17" t="s">
        <v>463</v>
      </c>
      <c r="D935" s="17" t="s">
        <v>49</v>
      </c>
      <c r="E935" s="18">
        <v>35</v>
      </c>
      <c r="F935" s="19" t="s">
        <v>22</v>
      </c>
      <c r="G935" s="16" t="s">
        <v>23</v>
      </c>
    </row>
    <row r="936" ht="20" customHeight="1" spans="1:7" x14ac:dyDescent="0.25">
      <c r="A936" s="20" t="s">
        <v>35</v>
      </c>
      <c r="B936" s="21" t="s">
        <v>25</v>
      </c>
      <c r="C936" s="21" t="s">
        <v>26</v>
      </c>
      <c r="D936" s="21" t="s">
        <v>27</v>
      </c>
      <c r="E936" s="22" t="s">
        <v>23</v>
      </c>
      <c r="F936" s="20" t="s">
        <v>27</v>
      </c>
      <c r="G936" s="20" t="s">
        <v>27</v>
      </c>
    </row>
    <row r="937" ht="22" customHeight="1" spans="1:7" x14ac:dyDescent="0.25">
      <c r="A937" s="16" t="s">
        <v>36</v>
      </c>
      <c r="B937" s="17" t="s">
        <v>47</v>
      </c>
      <c r="C937" s="17" t="s">
        <v>464</v>
      </c>
      <c r="D937" s="17" t="s">
        <v>49</v>
      </c>
      <c r="E937" s="18">
        <v>34</v>
      </c>
      <c r="F937" s="19" t="s">
        <v>22</v>
      </c>
      <c r="G937" s="16" t="s">
        <v>23</v>
      </c>
    </row>
    <row r="938" ht="24" customHeight="1" spans="1:7" x14ac:dyDescent="0.25">
      <c r="A938" s="23" t="s">
        <v>38</v>
      </c>
      <c r="B938" s="23" t="s">
        <v>39</v>
      </c>
      <c r="C938" s="24" t="s">
        <v>40</v>
      </c>
      <c r="D938" s="24" t="s">
        <v>41</v>
      </c>
      <c r="E938" s="25">
        <f>SUM(E931,E933,E935,E937)</f>
        <v>176.6</v>
      </c>
      <c r="F938" s="23" t="str">
        <f>ROUND(E938/60, 1) &amp; " Saat"</f>
        <v>2.9 Saat</v>
      </c>
      <c r="G938" s="23" t="str">
        <f>COUNTIF(G931:G937, "X") &amp; "/4"</f>
        <v>0/4</v>
      </c>
    </row>
    <row r="939" ht="22" customHeight="1" spans="1:7" x14ac:dyDescent="0.25">
      <c r="A939" s="15" t="s">
        <v>51</v>
      </c>
      <c r="B939" s="15"/>
      <c r="C939" s="15"/>
      <c r="D939" s="15"/>
      <c r="E939" s="15"/>
      <c r="F939" s="15"/>
      <c r="G939" s="15"/>
    </row>
    <row r="940" ht="22" customHeight="1" spans="1:7" x14ac:dyDescent="0.25">
      <c r="A940" s="16" t="s">
        <v>18</v>
      </c>
      <c r="B940" s="17" t="s">
        <v>52</v>
      </c>
      <c r="C940" s="17" t="s">
        <v>465</v>
      </c>
      <c r="D940" s="17" t="s">
        <v>54</v>
      </c>
      <c r="E940" s="18">
        <v>21.4</v>
      </c>
      <c r="F940" s="19" t="s">
        <v>22</v>
      </c>
      <c r="G940" s="16" t="s">
        <v>23</v>
      </c>
    </row>
    <row r="941" ht="20" customHeight="1" spans="1:7" x14ac:dyDescent="0.25">
      <c r="A941" s="20" t="s">
        <v>24</v>
      </c>
      <c r="B941" s="21" t="s">
        <v>25</v>
      </c>
      <c r="C941" s="21" t="s">
        <v>26</v>
      </c>
      <c r="D941" s="21" t="s">
        <v>27</v>
      </c>
      <c r="E941" s="22" t="s">
        <v>23</v>
      </c>
      <c r="F941" s="20" t="s">
        <v>27</v>
      </c>
      <c r="G941" s="20" t="s">
        <v>27</v>
      </c>
    </row>
    <row r="942" ht="22" customHeight="1" spans="1:7" x14ac:dyDescent="0.25">
      <c r="A942" s="16" t="s">
        <v>28</v>
      </c>
      <c r="B942" s="17" t="s">
        <v>52</v>
      </c>
      <c r="C942" s="17" t="s">
        <v>466</v>
      </c>
      <c r="D942" s="17" t="s">
        <v>54</v>
      </c>
      <c r="E942" s="18">
        <v>22.4</v>
      </c>
      <c r="F942" s="19" t="s">
        <v>22</v>
      </c>
      <c r="G942" s="16" t="s">
        <v>23</v>
      </c>
    </row>
    <row r="943" ht="20" customHeight="1" spans="1:7" x14ac:dyDescent="0.25">
      <c r="A943" s="20" t="s">
        <v>30</v>
      </c>
      <c r="B943" s="21" t="s">
        <v>25</v>
      </c>
      <c r="C943" s="21" t="s">
        <v>26</v>
      </c>
      <c r="D943" s="21" t="s">
        <v>27</v>
      </c>
      <c r="E943" s="22" t="s">
        <v>23</v>
      </c>
      <c r="F943" s="20" t="s">
        <v>27</v>
      </c>
      <c r="G943" s="20" t="s">
        <v>27</v>
      </c>
    </row>
    <row r="944" ht="22" customHeight="1" spans="1:7" x14ac:dyDescent="0.25">
      <c r="A944" s="16" t="s">
        <v>31</v>
      </c>
      <c r="B944" s="17" t="s">
        <v>56</v>
      </c>
      <c r="C944" s="17" t="s">
        <v>467</v>
      </c>
      <c r="D944" s="17" t="s">
        <v>23</v>
      </c>
      <c r="E944" s="18">
        <v>40</v>
      </c>
      <c r="F944" s="16" t="s">
        <v>27</v>
      </c>
      <c r="G944" s="16" t="s">
        <v>23</v>
      </c>
    </row>
    <row r="945" ht="20" customHeight="1" spans="1:7" x14ac:dyDescent="0.25">
      <c r="A945" s="20" t="s">
        <v>35</v>
      </c>
      <c r="B945" s="21" t="s">
        <v>25</v>
      </c>
      <c r="C945" s="21" t="s">
        <v>26</v>
      </c>
      <c r="D945" s="21" t="s">
        <v>27</v>
      </c>
      <c r="E945" s="22" t="s">
        <v>23</v>
      </c>
      <c r="F945" s="20" t="s">
        <v>27</v>
      </c>
      <c r="G945" s="20" t="s">
        <v>27</v>
      </c>
    </row>
    <row r="946" ht="22" customHeight="1" spans="1:7" x14ac:dyDescent="0.25">
      <c r="A946" s="16" t="s">
        <v>36</v>
      </c>
      <c r="B946" s="17" t="s">
        <v>56</v>
      </c>
      <c r="C946" s="17" t="s">
        <v>467</v>
      </c>
      <c r="D946" s="17" t="s">
        <v>23</v>
      </c>
      <c r="E946" s="18">
        <v>40</v>
      </c>
      <c r="F946" s="16" t="s">
        <v>27</v>
      </c>
      <c r="G946" s="16" t="s">
        <v>23</v>
      </c>
    </row>
    <row r="947" ht="24" customHeight="1" spans="1:7" x14ac:dyDescent="0.25">
      <c r="A947" s="23" t="s">
        <v>38</v>
      </c>
      <c r="B947" s="23" t="s">
        <v>39</v>
      </c>
      <c r="C947" s="24" t="s">
        <v>40</v>
      </c>
      <c r="D947" s="24" t="s">
        <v>41</v>
      </c>
      <c r="E947" s="25">
        <f>SUM(E940,E942,E944,E946)</f>
        <v>123.8</v>
      </c>
      <c r="F947" s="23" t="str">
        <f>ROUND(E947/60, 1) &amp; " Saat"</f>
        <v>2.1 Saat</v>
      </c>
      <c r="G947" s="23" t="str">
        <f>COUNTIF(G940:G946, "X") &amp; "/4"</f>
        <v>0/4</v>
      </c>
    </row>
    <row r="948" ht="22" customHeight="1" spans="1:7" x14ac:dyDescent="0.25">
      <c r="A948" s="15" t="s">
        <v>60</v>
      </c>
      <c r="B948" s="15"/>
      <c r="C948" s="15"/>
      <c r="D948" s="15"/>
      <c r="E948" s="15"/>
      <c r="F948" s="15"/>
      <c r="G948" s="15"/>
    </row>
    <row r="949" ht="22" customHeight="1" spans="1:7" x14ac:dyDescent="0.25">
      <c r="A949" s="16" t="s">
        <v>18</v>
      </c>
      <c r="B949" s="17" t="s">
        <v>43</v>
      </c>
      <c r="C949" s="17" t="s">
        <v>468</v>
      </c>
      <c r="D949" s="17" t="s">
        <v>45</v>
      </c>
      <c r="E949" s="18">
        <v>67.2</v>
      </c>
      <c r="F949" s="19" t="s">
        <v>22</v>
      </c>
      <c r="G949" s="16" t="s">
        <v>23</v>
      </c>
    </row>
    <row r="950" ht="20" customHeight="1" spans="1:7" x14ac:dyDescent="0.25">
      <c r="A950" s="20" t="s">
        <v>24</v>
      </c>
      <c r="B950" s="21" t="s">
        <v>25</v>
      </c>
      <c r="C950" s="21" t="s">
        <v>26</v>
      </c>
      <c r="D950" s="21" t="s">
        <v>27</v>
      </c>
      <c r="E950" s="22" t="s">
        <v>23</v>
      </c>
      <c r="F950" s="20" t="s">
        <v>27</v>
      </c>
      <c r="G950" s="20" t="s">
        <v>27</v>
      </c>
    </row>
    <row r="951" ht="22" customHeight="1" spans="1:7" x14ac:dyDescent="0.25">
      <c r="A951" s="16" t="s">
        <v>28</v>
      </c>
      <c r="B951" s="17" t="s">
        <v>43</v>
      </c>
      <c r="C951" s="17" t="s">
        <v>469</v>
      </c>
      <c r="D951" s="17" t="s">
        <v>45</v>
      </c>
      <c r="E951" s="18">
        <v>56.4</v>
      </c>
      <c r="F951" s="19" t="s">
        <v>22</v>
      </c>
      <c r="G951" s="16" t="s">
        <v>23</v>
      </c>
    </row>
    <row r="952" ht="20" customHeight="1" spans="1:7" x14ac:dyDescent="0.25">
      <c r="A952" s="20" t="s">
        <v>30</v>
      </c>
      <c r="B952" s="21" t="s">
        <v>25</v>
      </c>
      <c r="C952" s="21" t="s">
        <v>26</v>
      </c>
      <c r="D952" s="21" t="s">
        <v>27</v>
      </c>
      <c r="E952" s="22" t="s">
        <v>23</v>
      </c>
      <c r="F952" s="20" t="s">
        <v>27</v>
      </c>
      <c r="G952" s="20" t="s">
        <v>27</v>
      </c>
    </row>
    <row r="953" ht="22" customHeight="1" spans="1:7" x14ac:dyDescent="0.25">
      <c r="A953" s="16" t="s">
        <v>31</v>
      </c>
      <c r="B953" s="17" t="s">
        <v>63</v>
      </c>
      <c r="C953" s="17" t="s">
        <v>470</v>
      </c>
      <c r="D953" s="17" t="s">
        <v>65</v>
      </c>
      <c r="E953" s="18">
        <v>17.8</v>
      </c>
      <c r="F953" s="19" t="s">
        <v>22</v>
      </c>
      <c r="G953" s="16" t="s">
        <v>23</v>
      </c>
    </row>
    <row r="954" ht="20" customHeight="1" spans="1:7" x14ac:dyDescent="0.25">
      <c r="A954" s="20" t="s">
        <v>35</v>
      </c>
      <c r="B954" s="21" t="s">
        <v>25</v>
      </c>
      <c r="C954" s="21" t="s">
        <v>26</v>
      </c>
      <c r="D954" s="21" t="s">
        <v>27</v>
      </c>
      <c r="E954" s="22" t="s">
        <v>23</v>
      </c>
      <c r="F954" s="20" t="s">
        <v>27</v>
      </c>
      <c r="G954" s="20" t="s">
        <v>27</v>
      </c>
    </row>
    <row r="955" ht="22" customHeight="1" spans="1:7" x14ac:dyDescent="0.25">
      <c r="A955" s="16" t="s">
        <v>36</v>
      </c>
      <c r="B955" s="17" t="s">
        <v>63</v>
      </c>
      <c r="C955" s="17" t="s">
        <v>471</v>
      </c>
      <c r="D955" s="17" t="s">
        <v>65</v>
      </c>
      <c r="E955" s="18">
        <v>9.6</v>
      </c>
      <c r="F955" s="19" t="s">
        <v>22</v>
      </c>
      <c r="G955" s="16" t="s">
        <v>23</v>
      </c>
    </row>
    <row r="956" ht="24" customHeight="1" spans="1:7" x14ac:dyDescent="0.25">
      <c r="A956" s="23" t="s">
        <v>38</v>
      </c>
      <c r="B956" s="23" t="s">
        <v>39</v>
      </c>
      <c r="C956" s="24" t="s">
        <v>40</v>
      </c>
      <c r="D956" s="24" t="s">
        <v>41</v>
      </c>
      <c r="E956" s="25">
        <f>SUM(E949,E951,E953,E955)</f>
        <v>151</v>
      </c>
      <c r="F956" s="23" t="str">
        <f>ROUND(E956/60, 1) &amp; " Saat"</f>
        <v>2.5 Saat</v>
      </c>
      <c r="G956" s="23" t="str">
        <f>COUNTIF(G949:G955, "X") &amp; "/4"</f>
        <v>0/4</v>
      </c>
    </row>
    <row r="957" ht="22" customHeight="1" spans="1:7" x14ac:dyDescent="0.25">
      <c r="A957" s="15" t="s">
        <v>67</v>
      </c>
      <c r="B957" s="15"/>
      <c r="C957" s="15"/>
      <c r="D957" s="15"/>
      <c r="E957" s="15"/>
      <c r="F957" s="15"/>
      <c r="G957" s="15"/>
    </row>
    <row r="958" ht="22" customHeight="1" spans="1:7" x14ac:dyDescent="0.25">
      <c r="A958" s="16" t="s">
        <v>18</v>
      </c>
      <c r="B958" s="17" t="s">
        <v>68</v>
      </c>
      <c r="C958" s="17" t="s">
        <v>472</v>
      </c>
      <c r="D958" s="17" t="s">
        <v>70</v>
      </c>
      <c r="E958" s="18">
        <v>55.3</v>
      </c>
      <c r="F958" s="19" t="s">
        <v>22</v>
      </c>
      <c r="G958" s="16" t="s">
        <v>23</v>
      </c>
    </row>
    <row r="959" ht="20" customHeight="1" spans="1:7" x14ac:dyDescent="0.25">
      <c r="A959" s="20" t="s">
        <v>24</v>
      </c>
      <c r="B959" s="21" t="s">
        <v>25</v>
      </c>
      <c r="C959" s="21" t="s">
        <v>26</v>
      </c>
      <c r="D959" s="21" t="s">
        <v>27</v>
      </c>
      <c r="E959" s="22" t="s">
        <v>23</v>
      </c>
      <c r="F959" s="20" t="s">
        <v>27</v>
      </c>
      <c r="G959" s="20" t="s">
        <v>27</v>
      </c>
    </row>
    <row r="960" ht="22" customHeight="1" spans="1:7" x14ac:dyDescent="0.25">
      <c r="A960" s="16" t="s">
        <v>28</v>
      </c>
      <c r="B960" s="17" t="s">
        <v>68</v>
      </c>
      <c r="C960" s="17" t="s">
        <v>473</v>
      </c>
      <c r="D960" s="17" t="s">
        <v>70</v>
      </c>
      <c r="E960" s="18">
        <v>48.9</v>
      </c>
      <c r="F960" s="19" t="s">
        <v>22</v>
      </c>
      <c r="G960" s="16" t="s">
        <v>23</v>
      </c>
    </row>
    <row r="961" ht="20" customHeight="1" spans="1:7" x14ac:dyDescent="0.25">
      <c r="A961" s="20" t="s">
        <v>30</v>
      </c>
      <c r="B961" s="21" t="s">
        <v>25</v>
      </c>
      <c r="C961" s="21" t="s">
        <v>26</v>
      </c>
      <c r="D961" s="21" t="s">
        <v>27</v>
      </c>
      <c r="E961" s="22" t="s">
        <v>23</v>
      </c>
      <c r="F961" s="20" t="s">
        <v>27</v>
      </c>
      <c r="G961" s="20" t="s">
        <v>27</v>
      </c>
    </row>
    <row r="962" ht="22" customHeight="1" spans="1:7" x14ac:dyDescent="0.25">
      <c r="A962" s="16" t="s">
        <v>31</v>
      </c>
      <c r="B962" s="17" t="s">
        <v>449</v>
      </c>
      <c r="C962" s="17" t="s">
        <v>474</v>
      </c>
      <c r="D962" s="17" t="s">
        <v>34</v>
      </c>
      <c r="E962" s="18">
        <v>20.9</v>
      </c>
      <c r="F962" s="19" t="s">
        <v>22</v>
      </c>
      <c r="G962" s="16" t="s">
        <v>23</v>
      </c>
    </row>
    <row r="963" ht="20" customHeight="1" spans="1:7" x14ac:dyDescent="0.25">
      <c r="A963" s="20" t="s">
        <v>35</v>
      </c>
      <c r="B963" s="21" t="s">
        <v>25</v>
      </c>
      <c r="C963" s="21" t="s">
        <v>26</v>
      </c>
      <c r="D963" s="21" t="s">
        <v>27</v>
      </c>
      <c r="E963" s="22" t="s">
        <v>23</v>
      </c>
      <c r="F963" s="20" t="s">
        <v>27</v>
      </c>
      <c r="G963" s="20" t="s">
        <v>27</v>
      </c>
    </row>
    <row r="964" ht="22" customHeight="1" spans="1:7" x14ac:dyDescent="0.25">
      <c r="A964" s="16" t="s">
        <v>36</v>
      </c>
      <c r="B964" s="17" t="s">
        <v>449</v>
      </c>
      <c r="C964" s="17" t="s">
        <v>475</v>
      </c>
      <c r="D964" s="17" t="s">
        <v>34</v>
      </c>
      <c r="E964" s="18">
        <v>25</v>
      </c>
      <c r="F964" s="19" t="s">
        <v>22</v>
      </c>
      <c r="G964" s="16" t="s">
        <v>23</v>
      </c>
    </row>
    <row r="965" ht="24" customHeight="1" spans="1:7" x14ac:dyDescent="0.25">
      <c r="A965" s="23" t="s">
        <v>38</v>
      </c>
      <c r="B965" s="23" t="s">
        <v>39</v>
      </c>
      <c r="C965" s="24" t="s">
        <v>40</v>
      </c>
      <c r="D965" s="24" t="s">
        <v>41</v>
      </c>
      <c r="E965" s="25">
        <f>SUM(E958,E960,E962,E964)</f>
        <v>150.1</v>
      </c>
      <c r="F965" s="23" t="str">
        <f>ROUND(E965/60, 1) &amp; " Saat"</f>
        <v>2.5 Saat</v>
      </c>
      <c r="G965" s="23" t="str">
        <f>COUNTIF(G958:G964, "X") &amp; "/4"</f>
        <v>0/4</v>
      </c>
    </row>
    <row r="966" ht="22" customHeight="1" spans="1:7" x14ac:dyDescent="0.25">
      <c r="A966" s="15" t="s">
        <v>74</v>
      </c>
      <c r="B966" s="15"/>
      <c r="C966" s="15"/>
      <c r="D966" s="15"/>
      <c r="E966" s="15"/>
      <c r="F966" s="15"/>
      <c r="G966" s="15"/>
    </row>
    <row r="967" ht="22" customHeight="1" spans="1:7" x14ac:dyDescent="0.25">
      <c r="A967" s="16" t="s">
        <v>18</v>
      </c>
      <c r="B967" s="17" t="s">
        <v>47</v>
      </c>
      <c r="C967" s="17" t="s">
        <v>476</v>
      </c>
      <c r="D967" s="17" t="s">
        <v>49</v>
      </c>
      <c r="E967" s="18">
        <v>22</v>
      </c>
      <c r="F967" s="19" t="s">
        <v>22</v>
      </c>
      <c r="G967" s="16" t="s">
        <v>23</v>
      </c>
    </row>
    <row r="968" ht="20" customHeight="1" spans="1:7" x14ac:dyDescent="0.25">
      <c r="A968" s="20" t="s">
        <v>24</v>
      </c>
      <c r="B968" s="21" t="s">
        <v>25</v>
      </c>
      <c r="C968" s="21" t="s">
        <v>26</v>
      </c>
      <c r="D968" s="21" t="s">
        <v>27</v>
      </c>
      <c r="E968" s="22" t="s">
        <v>23</v>
      </c>
      <c r="F968" s="20" t="s">
        <v>27</v>
      </c>
      <c r="G968" s="20" t="s">
        <v>27</v>
      </c>
    </row>
    <row r="969" ht="22" customHeight="1" spans="1:7" x14ac:dyDescent="0.25">
      <c r="A969" s="16" t="s">
        <v>28</v>
      </c>
      <c r="B969" s="17" t="s">
        <v>47</v>
      </c>
      <c r="C969" s="17" t="s">
        <v>477</v>
      </c>
      <c r="D969" s="17" t="s">
        <v>49</v>
      </c>
      <c r="E969" s="18">
        <v>28.8</v>
      </c>
      <c r="F969" s="19" t="s">
        <v>22</v>
      </c>
      <c r="G969" s="16" t="s">
        <v>23</v>
      </c>
    </row>
    <row r="970" ht="20" customHeight="1" spans="1:7" x14ac:dyDescent="0.25">
      <c r="A970" s="20" t="s">
        <v>30</v>
      </c>
      <c r="B970" s="21" t="s">
        <v>25</v>
      </c>
      <c r="C970" s="21" t="s">
        <v>26</v>
      </c>
      <c r="D970" s="21" t="s">
        <v>27</v>
      </c>
      <c r="E970" s="22" t="s">
        <v>23</v>
      </c>
      <c r="F970" s="20" t="s">
        <v>27</v>
      </c>
      <c r="G970" s="20" t="s">
        <v>27</v>
      </c>
    </row>
    <row r="971" ht="22" customHeight="1" spans="1:7" x14ac:dyDescent="0.25">
      <c r="A971" s="16" t="s">
        <v>31</v>
      </c>
      <c r="B971" s="17" t="s">
        <v>52</v>
      </c>
      <c r="C971" s="17" t="s">
        <v>478</v>
      </c>
      <c r="D971" s="17" t="s">
        <v>54</v>
      </c>
      <c r="E971" s="18">
        <v>50.2</v>
      </c>
      <c r="F971" s="19" t="s">
        <v>22</v>
      </c>
      <c r="G971" s="16" t="s">
        <v>23</v>
      </c>
    </row>
    <row r="972" ht="20" customHeight="1" spans="1:7" x14ac:dyDescent="0.25">
      <c r="A972" s="20" t="s">
        <v>35</v>
      </c>
      <c r="B972" s="21" t="s">
        <v>25</v>
      </c>
      <c r="C972" s="21" t="s">
        <v>26</v>
      </c>
      <c r="D972" s="21" t="s">
        <v>27</v>
      </c>
      <c r="E972" s="22" t="s">
        <v>23</v>
      </c>
      <c r="F972" s="20" t="s">
        <v>27</v>
      </c>
      <c r="G972" s="20" t="s">
        <v>27</v>
      </c>
    </row>
    <row r="973" ht="22" customHeight="1" spans="1:7" x14ac:dyDescent="0.25">
      <c r="A973" s="16" t="s">
        <v>36</v>
      </c>
      <c r="B973" s="17" t="s">
        <v>52</v>
      </c>
      <c r="C973" s="17" t="s">
        <v>479</v>
      </c>
      <c r="D973" s="17" t="s">
        <v>54</v>
      </c>
      <c r="E973" s="18">
        <v>26.7</v>
      </c>
      <c r="F973" s="19" t="s">
        <v>22</v>
      </c>
      <c r="G973" s="16" t="s">
        <v>23</v>
      </c>
    </row>
    <row r="974" ht="24" customHeight="1" spans="1:7" x14ac:dyDescent="0.25">
      <c r="A974" s="23" t="s">
        <v>38</v>
      </c>
      <c r="B974" s="23" t="s">
        <v>39</v>
      </c>
      <c r="C974" s="24" t="s">
        <v>40</v>
      </c>
      <c r="D974" s="24" t="s">
        <v>41</v>
      </c>
      <c r="E974" s="25">
        <f>SUM(E967,E969,E971,E973)</f>
        <v>127.7</v>
      </c>
      <c r="F974" s="23" t="str">
        <f>ROUND(E974/60, 1) &amp; " Saat"</f>
        <v>2.1 Saat</v>
      </c>
      <c r="G974" s="23" t="str">
        <f>COUNTIF(G967:G973, "X") &amp; "/4"</f>
        <v>0/4</v>
      </c>
    </row>
    <row r="975" ht="28" customHeight="1" spans="1:7" x14ac:dyDescent="0.25">
      <c r="A975" s="26" t="s">
        <v>79</v>
      </c>
      <c r="B975" s="26"/>
      <c r="C975" s="26"/>
      <c r="D975" s="26"/>
      <c r="E975" s="26"/>
      <c r="F975" s="26"/>
      <c r="G975" s="26"/>
    </row>
    <row r="976" ht="8" customHeight="1" x14ac:dyDescent="0.25"/>
    <row r="977" ht="25" customHeight="1" spans="1:7" x14ac:dyDescent="0.25">
      <c r="A977" s="14" t="s">
        <v>480</v>
      </c>
      <c r="B977" s="14"/>
      <c r="C977" s="14"/>
      <c r="D977" s="14"/>
      <c r="E977" s="14"/>
      <c r="F977" s="14"/>
      <c r="G977" s="14"/>
    </row>
    <row r="978" ht="22" customHeight="1" spans="1:7" x14ac:dyDescent="0.25">
      <c r="A978" s="15" t="s">
        <v>17</v>
      </c>
      <c r="B978" s="15"/>
      <c r="C978" s="15"/>
      <c r="D978" s="15"/>
      <c r="E978" s="15"/>
      <c r="F978" s="15"/>
      <c r="G978" s="15"/>
    </row>
    <row r="979" ht="22" customHeight="1" spans="1:7" x14ac:dyDescent="0.25">
      <c r="A979" s="16" t="s">
        <v>18</v>
      </c>
      <c r="B979" s="17" t="s">
        <v>19</v>
      </c>
      <c r="C979" s="17" t="s">
        <v>481</v>
      </c>
      <c r="D979" s="17" t="s">
        <v>21</v>
      </c>
      <c r="E979" s="18">
        <v>14.6</v>
      </c>
      <c r="F979" s="19" t="s">
        <v>22</v>
      </c>
      <c r="G979" s="16" t="s">
        <v>23</v>
      </c>
    </row>
    <row r="980" ht="20" customHeight="1" spans="1:7" x14ac:dyDescent="0.25">
      <c r="A980" s="20" t="s">
        <v>24</v>
      </c>
      <c r="B980" s="21" t="s">
        <v>25</v>
      </c>
      <c r="C980" s="21" t="s">
        <v>26</v>
      </c>
      <c r="D980" s="21" t="s">
        <v>27</v>
      </c>
      <c r="E980" s="22" t="s">
        <v>23</v>
      </c>
      <c r="F980" s="20" t="s">
        <v>27</v>
      </c>
      <c r="G980" s="20" t="s">
        <v>27</v>
      </c>
    </row>
    <row r="981" ht="22" customHeight="1" spans="1:7" x14ac:dyDescent="0.25">
      <c r="A981" s="16" t="s">
        <v>28</v>
      </c>
      <c r="B981" s="17" t="s">
        <v>19</v>
      </c>
      <c r="C981" s="17" t="s">
        <v>482</v>
      </c>
      <c r="D981" s="17" t="s">
        <v>21</v>
      </c>
      <c r="E981" s="18">
        <v>20.5</v>
      </c>
      <c r="F981" s="19" t="s">
        <v>22</v>
      </c>
      <c r="G981" s="16" t="s">
        <v>23</v>
      </c>
    </row>
    <row r="982" ht="20" customHeight="1" spans="1:7" x14ac:dyDescent="0.25">
      <c r="A982" s="20" t="s">
        <v>30</v>
      </c>
      <c r="B982" s="21" t="s">
        <v>25</v>
      </c>
      <c r="C982" s="21" t="s">
        <v>26</v>
      </c>
      <c r="D982" s="21" t="s">
        <v>27</v>
      </c>
      <c r="E982" s="22" t="s">
        <v>23</v>
      </c>
      <c r="F982" s="20" t="s">
        <v>27</v>
      </c>
      <c r="G982" s="20" t="s">
        <v>27</v>
      </c>
    </row>
    <row r="983" ht="22" customHeight="1" spans="1:7" x14ac:dyDescent="0.25">
      <c r="A983" s="16" t="s">
        <v>31</v>
      </c>
      <c r="B983" s="17" t="s">
        <v>32</v>
      </c>
      <c r="C983" s="17" t="s">
        <v>483</v>
      </c>
      <c r="D983" s="17" t="s">
        <v>34</v>
      </c>
      <c r="E983" s="18">
        <v>43.5</v>
      </c>
      <c r="F983" s="19" t="s">
        <v>22</v>
      </c>
      <c r="G983" s="16" t="s">
        <v>23</v>
      </c>
    </row>
    <row r="984" ht="20" customHeight="1" spans="1:7" x14ac:dyDescent="0.25">
      <c r="A984" s="20" t="s">
        <v>35</v>
      </c>
      <c r="B984" s="21" t="s">
        <v>25</v>
      </c>
      <c r="C984" s="21" t="s">
        <v>26</v>
      </c>
      <c r="D984" s="21" t="s">
        <v>27</v>
      </c>
      <c r="E984" s="22" t="s">
        <v>23</v>
      </c>
      <c r="F984" s="20" t="s">
        <v>27</v>
      </c>
      <c r="G984" s="20" t="s">
        <v>27</v>
      </c>
    </row>
    <row r="985" ht="22" customHeight="1" spans="1:7" x14ac:dyDescent="0.25">
      <c r="A985" s="16" t="s">
        <v>36</v>
      </c>
      <c r="B985" s="17" t="s">
        <v>32</v>
      </c>
      <c r="C985" s="17" t="s">
        <v>484</v>
      </c>
      <c r="D985" s="17" t="s">
        <v>34</v>
      </c>
      <c r="E985" s="18">
        <v>49.9</v>
      </c>
      <c r="F985" s="19" t="s">
        <v>22</v>
      </c>
      <c r="G985" s="16" t="s">
        <v>23</v>
      </c>
    </row>
    <row r="986" ht="24" customHeight="1" spans="1:7" x14ac:dyDescent="0.25">
      <c r="A986" s="23" t="s">
        <v>38</v>
      </c>
      <c r="B986" s="23" t="s">
        <v>39</v>
      </c>
      <c r="C986" s="24" t="s">
        <v>40</v>
      </c>
      <c r="D986" s="24" t="s">
        <v>41</v>
      </c>
      <c r="E986" s="25">
        <f>SUM(E979,E981,E983,E985)</f>
        <v>128.5</v>
      </c>
      <c r="F986" s="23" t="str">
        <f>ROUND(E986/60, 1) &amp; " Saat"</f>
        <v>2.1 Saat</v>
      </c>
      <c r="G986" s="23" t="str">
        <f>COUNTIF(G979:G985, "X") &amp; "/4"</f>
        <v>0/4</v>
      </c>
    </row>
    <row r="987" ht="22" customHeight="1" spans="1:7" x14ac:dyDescent="0.25">
      <c r="A987" s="15" t="s">
        <v>42</v>
      </c>
      <c r="B987" s="15"/>
      <c r="C987" s="15"/>
      <c r="D987" s="15"/>
      <c r="E987" s="15"/>
      <c r="F987" s="15"/>
      <c r="G987" s="15"/>
    </row>
    <row r="988" ht="22" customHeight="1" spans="1:7" x14ac:dyDescent="0.25">
      <c r="A988" s="16" t="s">
        <v>18</v>
      </c>
      <c r="B988" s="17" t="s">
        <v>43</v>
      </c>
      <c r="C988" s="17" t="s">
        <v>485</v>
      </c>
      <c r="D988" s="17" t="s">
        <v>45</v>
      </c>
      <c r="E988" s="18">
        <v>38.1</v>
      </c>
      <c r="F988" s="19" t="s">
        <v>22</v>
      </c>
      <c r="G988" s="16" t="s">
        <v>23</v>
      </c>
    </row>
    <row r="989" ht="20" customHeight="1" spans="1:7" x14ac:dyDescent="0.25">
      <c r="A989" s="20" t="s">
        <v>24</v>
      </c>
      <c r="B989" s="21" t="s">
        <v>25</v>
      </c>
      <c r="C989" s="21" t="s">
        <v>26</v>
      </c>
      <c r="D989" s="21" t="s">
        <v>27</v>
      </c>
      <c r="E989" s="22" t="s">
        <v>23</v>
      </c>
      <c r="F989" s="20" t="s">
        <v>27</v>
      </c>
      <c r="G989" s="20" t="s">
        <v>27</v>
      </c>
    </row>
    <row r="990" ht="22" customHeight="1" spans="1:7" x14ac:dyDescent="0.25">
      <c r="A990" s="16" t="s">
        <v>28</v>
      </c>
      <c r="B990" s="17" t="s">
        <v>43</v>
      </c>
      <c r="C990" s="17" t="s">
        <v>486</v>
      </c>
      <c r="D990" s="17" t="s">
        <v>45</v>
      </c>
      <c r="E990" s="18">
        <v>46.6</v>
      </c>
      <c r="F990" s="19" t="s">
        <v>22</v>
      </c>
      <c r="G990" s="16" t="s">
        <v>23</v>
      </c>
    </row>
    <row r="991" ht="20" customHeight="1" spans="1:7" x14ac:dyDescent="0.25">
      <c r="A991" s="20" t="s">
        <v>30</v>
      </c>
      <c r="B991" s="21" t="s">
        <v>25</v>
      </c>
      <c r="C991" s="21" t="s">
        <v>26</v>
      </c>
      <c r="D991" s="21" t="s">
        <v>27</v>
      </c>
      <c r="E991" s="22" t="s">
        <v>23</v>
      </c>
      <c r="F991" s="20" t="s">
        <v>27</v>
      </c>
      <c r="G991" s="20" t="s">
        <v>27</v>
      </c>
    </row>
    <row r="992" ht="22" customHeight="1" spans="1:7" x14ac:dyDescent="0.25">
      <c r="A992" s="16" t="s">
        <v>31</v>
      </c>
      <c r="B992" s="17" t="s">
        <v>47</v>
      </c>
      <c r="C992" s="17" t="s">
        <v>487</v>
      </c>
      <c r="D992" s="17" t="s">
        <v>49</v>
      </c>
      <c r="E992" s="18">
        <v>30.2</v>
      </c>
      <c r="F992" s="19" t="s">
        <v>22</v>
      </c>
      <c r="G992" s="16" t="s">
        <v>23</v>
      </c>
    </row>
    <row r="993" ht="20" customHeight="1" spans="1:7" x14ac:dyDescent="0.25">
      <c r="A993" s="20" t="s">
        <v>35</v>
      </c>
      <c r="B993" s="21" t="s">
        <v>25</v>
      </c>
      <c r="C993" s="21" t="s">
        <v>26</v>
      </c>
      <c r="D993" s="21" t="s">
        <v>27</v>
      </c>
      <c r="E993" s="22" t="s">
        <v>23</v>
      </c>
      <c r="F993" s="20" t="s">
        <v>27</v>
      </c>
      <c r="G993" s="20" t="s">
        <v>27</v>
      </c>
    </row>
    <row r="994" ht="22" customHeight="1" spans="1:7" x14ac:dyDescent="0.25">
      <c r="A994" s="16" t="s">
        <v>36</v>
      </c>
      <c r="B994" s="17" t="s">
        <v>47</v>
      </c>
      <c r="C994" s="17" t="s">
        <v>488</v>
      </c>
      <c r="D994" s="17" t="s">
        <v>49</v>
      </c>
      <c r="E994" s="18">
        <v>34.2</v>
      </c>
      <c r="F994" s="19" t="s">
        <v>22</v>
      </c>
      <c r="G994" s="16" t="s">
        <v>23</v>
      </c>
    </row>
    <row r="995" ht="24" customHeight="1" spans="1:7" x14ac:dyDescent="0.25">
      <c r="A995" s="23" t="s">
        <v>38</v>
      </c>
      <c r="B995" s="23" t="s">
        <v>39</v>
      </c>
      <c r="C995" s="24" t="s">
        <v>40</v>
      </c>
      <c r="D995" s="24" t="s">
        <v>41</v>
      </c>
      <c r="E995" s="25">
        <f>SUM(E988,E990,E992,E994)</f>
        <v>149.1</v>
      </c>
      <c r="F995" s="23" t="str">
        <f>ROUND(E995/60, 1) &amp; " Saat"</f>
        <v>2.5 Saat</v>
      </c>
      <c r="G995" s="23" t="str">
        <f>COUNTIF(G988:G994, "X") &amp; "/4"</f>
        <v>0/4</v>
      </c>
    </row>
    <row r="996" ht="22" customHeight="1" spans="1:7" x14ac:dyDescent="0.25">
      <c r="A996" s="15" t="s">
        <v>51</v>
      </c>
      <c r="B996" s="15"/>
      <c r="C996" s="15"/>
      <c r="D996" s="15"/>
      <c r="E996" s="15"/>
      <c r="F996" s="15"/>
      <c r="G996" s="15"/>
    </row>
    <row r="997" ht="22" customHeight="1" spans="1:7" x14ac:dyDescent="0.25">
      <c r="A997" s="16" t="s">
        <v>18</v>
      </c>
      <c r="B997" s="17" t="s">
        <v>52</v>
      </c>
      <c r="C997" s="17" t="s">
        <v>489</v>
      </c>
      <c r="D997" s="17" t="s">
        <v>54</v>
      </c>
      <c r="E997" s="18">
        <v>31.2</v>
      </c>
      <c r="F997" s="19" t="s">
        <v>22</v>
      </c>
      <c r="G997" s="16" t="s">
        <v>23</v>
      </c>
    </row>
    <row r="998" ht="20" customHeight="1" spans="1:7" x14ac:dyDescent="0.25">
      <c r="A998" s="20" t="s">
        <v>24</v>
      </c>
      <c r="B998" s="21" t="s">
        <v>25</v>
      </c>
      <c r="C998" s="21" t="s">
        <v>26</v>
      </c>
      <c r="D998" s="21" t="s">
        <v>27</v>
      </c>
      <c r="E998" s="22" t="s">
        <v>23</v>
      </c>
      <c r="F998" s="20" t="s">
        <v>27</v>
      </c>
      <c r="G998" s="20" t="s">
        <v>27</v>
      </c>
    </row>
    <row r="999" ht="22" customHeight="1" spans="1:7" x14ac:dyDescent="0.25">
      <c r="A999" s="16" t="s">
        <v>28</v>
      </c>
      <c r="B999" s="17" t="s">
        <v>52</v>
      </c>
      <c r="C999" s="17" t="s">
        <v>490</v>
      </c>
      <c r="D999" s="17" t="s">
        <v>54</v>
      </c>
      <c r="E999" s="18">
        <v>28.4</v>
      </c>
      <c r="F999" s="19" t="s">
        <v>22</v>
      </c>
      <c r="G999" s="16" t="s">
        <v>23</v>
      </c>
    </row>
    <row r="1000" ht="20" customHeight="1" spans="1:7" x14ac:dyDescent="0.25">
      <c r="A1000" s="20" t="s">
        <v>30</v>
      </c>
      <c r="B1000" s="21" t="s">
        <v>25</v>
      </c>
      <c r="C1000" s="21" t="s">
        <v>26</v>
      </c>
      <c r="D1000" s="21" t="s">
        <v>27</v>
      </c>
      <c r="E1000" s="22" t="s">
        <v>23</v>
      </c>
      <c r="F1000" s="20" t="s">
        <v>27</v>
      </c>
      <c r="G1000" s="20" t="s">
        <v>27</v>
      </c>
    </row>
    <row r="1001" ht="22" customHeight="1" spans="1:7" x14ac:dyDescent="0.25">
      <c r="A1001" s="16" t="s">
        <v>31</v>
      </c>
      <c r="B1001" s="17" t="s">
        <v>56</v>
      </c>
      <c r="C1001" s="17" t="s">
        <v>467</v>
      </c>
      <c r="D1001" s="17" t="s">
        <v>23</v>
      </c>
      <c r="E1001" s="18">
        <v>40</v>
      </c>
      <c r="F1001" s="16" t="s">
        <v>27</v>
      </c>
      <c r="G1001" s="16" t="s">
        <v>23</v>
      </c>
    </row>
    <row r="1002" ht="20" customHeight="1" spans="1:7" x14ac:dyDescent="0.25">
      <c r="A1002" s="20" t="s">
        <v>35</v>
      </c>
      <c r="B1002" s="21" t="s">
        <v>25</v>
      </c>
      <c r="C1002" s="21" t="s">
        <v>26</v>
      </c>
      <c r="D1002" s="21" t="s">
        <v>27</v>
      </c>
      <c r="E1002" s="22" t="s">
        <v>23</v>
      </c>
      <c r="F1002" s="20" t="s">
        <v>27</v>
      </c>
      <c r="G1002" s="20" t="s">
        <v>27</v>
      </c>
    </row>
    <row r="1003" ht="22" customHeight="1" spans="1:7" x14ac:dyDescent="0.25">
      <c r="A1003" s="16" t="s">
        <v>36</v>
      </c>
      <c r="B1003" s="17" t="s">
        <v>56</v>
      </c>
      <c r="C1003" s="17" t="s">
        <v>467</v>
      </c>
      <c r="D1003" s="17" t="s">
        <v>23</v>
      </c>
      <c r="E1003" s="18">
        <v>40</v>
      </c>
      <c r="F1003" s="16" t="s">
        <v>27</v>
      </c>
      <c r="G1003" s="16" t="s">
        <v>23</v>
      </c>
    </row>
    <row r="1004" ht="24" customHeight="1" spans="1:7" x14ac:dyDescent="0.25">
      <c r="A1004" s="23" t="s">
        <v>38</v>
      </c>
      <c r="B1004" s="23" t="s">
        <v>39</v>
      </c>
      <c r="C1004" s="24" t="s">
        <v>40</v>
      </c>
      <c r="D1004" s="24" t="s">
        <v>41</v>
      </c>
      <c r="E1004" s="25">
        <f>SUM(E997,E999,E1001,E1003)</f>
        <v>139.6</v>
      </c>
      <c r="F1004" s="23" t="str">
        <f>ROUND(E1004/60, 1) &amp; " Saat"</f>
        <v>2.3 Saat</v>
      </c>
      <c r="G1004" s="23" t="str">
        <f>COUNTIF(G997:G1003, "X") &amp; "/4"</f>
        <v>0/4</v>
      </c>
    </row>
    <row r="1005" ht="22" customHeight="1" spans="1:7" x14ac:dyDescent="0.25">
      <c r="A1005" s="15" t="s">
        <v>60</v>
      </c>
      <c r="B1005" s="15"/>
      <c r="C1005" s="15"/>
      <c r="D1005" s="15"/>
      <c r="E1005" s="15"/>
      <c r="F1005" s="15"/>
      <c r="G1005" s="15"/>
    </row>
    <row r="1006" ht="22" customHeight="1" spans="1:7" x14ac:dyDescent="0.25">
      <c r="A1006" s="16" t="s">
        <v>18</v>
      </c>
      <c r="B1006" s="17" t="s">
        <v>43</v>
      </c>
      <c r="C1006" s="17" t="s">
        <v>491</v>
      </c>
      <c r="D1006" s="17" t="s">
        <v>45</v>
      </c>
      <c r="E1006" s="18">
        <v>39.8</v>
      </c>
      <c r="F1006" s="19" t="s">
        <v>22</v>
      </c>
      <c r="G1006" s="16" t="s">
        <v>23</v>
      </c>
    </row>
    <row r="1007" ht="20" customHeight="1" spans="1:7" x14ac:dyDescent="0.25">
      <c r="A1007" s="20" t="s">
        <v>24</v>
      </c>
      <c r="B1007" s="21" t="s">
        <v>25</v>
      </c>
      <c r="C1007" s="21" t="s">
        <v>26</v>
      </c>
      <c r="D1007" s="21" t="s">
        <v>27</v>
      </c>
      <c r="E1007" s="22" t="s">
        <v>23</v>
      </c>
      <c r="F1007" s="20" t="s">
        <v>27</v>
      </c>
      <c r="G1007" s="20" t="s">
        <v>27</v>
      </c>
    </row>
    <row r="1008" ht="22" customHeight="1" spans="1:7" x14ac:dyDescent="0.25">
      <c r="A1008" s="16" t="s">
        <v>28</v>
      </c>
      <c r="B1008" s="17" t="s">
        <v>43</v>
      </c>
      <c r="C1008" s="17" t="s">
        <v>492</v>
      </c>
      <c r="D1008" s="17" t="s">
        <v>45</v>
      </c>
      <c r="E1008" s="18">
        <v>38.5</v>
      </c>
      <c r="F1008" s="19" t="s">
        <v>22</v>
      </c>
      <c r="G1008" s="16" t="s">
        <v>23</v>
      </c>
    </row>
    <row r="1009" ht="20" customHeight="1" spans="1:7" x14ac:dyDescent="0.25">
      <c r="A1009" s="20" t="s">
        <v>30</v>
      </c>
      <c r="B1009" s="21" t="s">
        <v>25</v>
      </c>
      <c r="C1009" s="21" t="s">
        <v>26</v>
      </c>
      <c r="D1009" s="21" t="s">
        <v>27</v>
      </c>
      <c r="E1009" s="22" t="s">
        <v>23</v>
      </c>
      <c r="F1009" s="20" t="s">
        <v>27</v>
      </c>
      <c r="G1009" s="20" t="s">
        <v>27</v>
      </c>
    </row>
    <row r="1010" ht="22" customHeight="1" spans="1:7" x14ac:dyDescent="0.25">
      <c r="A1010" s="16" t="s">
        <v>31</v>
      </c>
      <c r="B1010" s="17" t="s">
        <v>63</v>
      </c>
      <c r="C1010" s="17" t="s">
        <v>493</v>
      </c>
      <c r="D1010" s="17" t="s">
        <v>65</v>
      </c>
      <c r="E1010" s="18">
        <v>24.8</v>
      </c>
      <c r="F1010" s="19" t="s">
        <v>22</v>
      </c>
      <c r="G1010" s="16" t="s">
        <v>23</v>
      </c>
    </row>
    <row r="1011" ht="20" customHeight="1" spans="1:7" x14ac:dyDescent="0.25">
      <c r="A1011" s="20" t="s">
        <v>35</v>
      </c>
      <c r="B1011" s="21" t="s">
        <v>25</v>
      </c>
      <c r="C1011" s="21" t="s">
        <v>26</v>
      </c>
      <c r="D1011" s="21" t="s">
        <v>27</v>
      </c>
      <c r="E1011" s="22" t="s">
        <v>23</v>
      </c>
      <c r="F1011" s="20" t="s">
        <v>27</v>
      </c>
      <c r="G1011" s="20" t="s">
        <v>27</v>
      </c>
    </row>
    <row r="1012" ht="22" customHeight="1" spans="1:7" x14ac:dyDescent="0.25">
      <c r="A1012" s="16" t="s">
        <v>36</v>
      </c>
      <c r="B1012" s="17" t="s">
        <v>63</v>
      </c>
      <c r="C1012" s="17" t="s">
        <v>494</v>
      </c>
      <c r="D1012" s="17" t="s">
        <v>65</v>
      </c>
      <c r="E1012" s="18">
        <v>29.1</v>
      </c>
      <c r="F1012" s="19" t="s">
        <v>22</v>
      </c>
      <c r="G1012" s="16" t="s">
        <v>23</v>
      </c>
    </row>
    <row r="1013" ht="24" customHeight="1" spans="1:7" x14ac:dyDescent="0.25">
      <c r="A1013" s="23" t="s">
        <v>38</v>
      </c>
      <c r="B1013" s="23" t="s">
        <v>39</v>
      </c>
      <c r="C1013" s="24" t="s">
        <v>40</v>
      </c>
      <c r="D1013" s="24" t="s">
        <v>41</v>
      </c>
      <c r="E1013" s="25">
        <f>SUM(E1006,E1008,E1010,E1012)</f>
        <v>132.2</v>
      </c>
      <c r="F1013" s="23" t="str">
        <f>ROUND(E1013/60, 1) &amp; " Saat"</f>
        <v>2.2 Saat</v>
      </c>
      <c r="G1013" s="23" t="str">
        <f>COUNTIF(G1006:G1012, "X") &amp; "/4"</f>
        <v>0/4</v>
      </c>
    </row>
    <row r="1014" ht="22" customHeight="1" spans="1:7" x14ac:dyDescent="0.25">
      <c r="A1014" s="15" t="s">
        <v>67</v>
      </c>
      <c r="B1014" s="15"/>
      <c r="C1014" s="15"/>
      <c r="D1014" s="15"/>
      <c r="E1014" s="15"/>
      <c r="F1014" s="15"/>
      <c r="G1014" s="15"/>
    </row>
    <row r="1015" ht="22" customHeight="1" spans="1:7" x14ac:dyDescent="0.25">
      <c r="A1015" s="16" t="s">
        <v>18</v>
      </c>
      <c r="B1015" s="17" t="s">
        <v>68</v>
      </c>
      <c r="C1015" s="17" t="s">
        <v>495</v>
      </c>
      <c r="D1015" s="17" t="s">
        <v>70</v>
      </c>
      <c r="E1015" s="18">
        <v>24.9</v>
      </c>
      <c r="F1015" s="19" t="s">
        <v>22</v>
      </c>
      <c r="G1015" s="16" t="s">
        <v>23</v>
      </c>
    </row>
    <row r="1016" ht="20" customHeight="1" spans="1:7" x14ac:dyDescent="0.25">
      <c r="A1016" s="20" t="s">
        <v>24</v>
      </c>
      <c r="B1016" s="21" t="s">
        <v>25</v>
      </c>
      <c r="C1016" s="21" t="s">
        <v>26</v>
      </c>
      <c r="D1016" s="21" t="s">
        <v>27</v>
      </c>
      <c r="E1016" s="22" t="s">
        <v>23</v>
      </c>
      <c r="F1016" s="20" t="s">
        <v>27</v>
      </c>
      <c r="G1016" s="20" t="s">
        <v>27</v>
      </c>
    </row>
    <row r="1017" ht="22" customHeight="1" spans="1:7" x14ac:dyDescent="0.25">
      <c r="A1017" s="16" t="s">
        <v>28</v>
      </c>
      <c r="B1017" s="17" t="s">
        <v>68</v>
      </c>
      <c r="C1017" s="17" t="s">
        <v>496</v>
      </c>
      <c r="D1017" s="17" t="s">
        <v>70</v>
      </c>
      <c r="E1017" s="18">
        <v>20.4</v>
      </c>
      <c r="F1017" s="19" t="s">
        <v>22</v>
      </c>
      <c r="G1017" s="16" t="s">
        <v>23</v>
      </c>
    </row>
    <row r="1018" ht="20" customHeight="1" spans="1:7" x14ac:dyDescent="0.25">
      <c r="A1018" s="20" t="s">
        <v>30</v>
      </c>
      <c r="B1018" s="21" t="s">
        <v>25</v>
      </c>
      <c r="C1018" s="21" t="s">
        <v>26</v>
      </c>
      <c r="D1018" s="21" t="s">
        <v>27</v>
      </c>
      <c r="E1018" s="22" t="s">
        <v>23</v>
      </c>
      <c r="F1018" s="20" t="s">
        <v>27</v>
      </c>
      <c r="G1018" s="20" t="s">
        <v>27</v>
      </c>
    </row>
    <row r="1019" ht="22" customHeight="1" spans="1:7" x14ac:dyDescent="0.25">
      <c r="A1019" s="16" t="s">
        <v>31</v>
      </c>
      <c r="B1019" s="17" t="s">
        <v>449</v>
      </c>
      <c r="C1019" s="17" t="s">
        <v>497</v>
      </c>
      <c r="D1019" s="17" t="s">
        <v>34</v>
      </c>
      <c r="E1019" s="18">
        <v>14.7</v>
      </c>
      <c r="F1019" s="19" t="s">
        <v>22</v>
      </c>
      <c r="G1019" s="16" t="s">
        <v>23</v>
      </c>
    </row>
    <row r="1020" ht="20" customHeight="1" spans="1:7" x14ac:dyDescent="0.25">
      <c r="A1020" s="20" t="s">
        <v>35</v>
      </c>
      <c r="B1020" s="21" t="s">
        <v>25</v>
      </c>
      <c r="C1020" s="21" t="s">
        <v>26</v>
      </c>
      <c r="D1020" s="21" t="s">
        <v>27</v>
      </c>
      <c r="E1020" s="22" t="s">
        <v>23</v>
      </c>
      <c r="F1020" s="20" t="s">
        <v>27</v>
      </c>
      <c r="G1020" s="20" t="s">
        <v>27</v>
      </c>
    </row>
    <row r="1021" ht="22" customHeight="1" spans="1:7" x14ac:dyDescent="0.25">
      <c r="A1021" s="16" t="s">
        <v>36</v>
      </c>
      <c r="B1021" s="17" t="s">
        <v>449</v>
      </c>
      <c r="C1021" s="17" t="s">
        <v>498</v>
      </c>
      <c r="D1021" s="17" t="s">
        <v>34</v>
      </c>
      <c r="E1021" s="18">
        <v>33</v>
      </c>
      <c r="F1021" s="19" t="s">
        <v>22</v>
      </c>
      <c r="G1021" s="16" t="s">
        <v>23</v>
      </c>
    </row>
    <row r="1022" ht="24" customHeight="1" spans="1:7" x14ac:dyDescent="0.25">
      <c r="A1022" s="23" t="s">
        <v>38</v>
      </c>
      <c r="B1022" s="23" t="s">
        <v>39</v>
      </c>
      <c r="C1022" s="24" t="s">
        <v>40</v>
      </c>
      <c r="D1022" s="24" t="s">
        <v>41</v>
      </c>
      <c r="E1022" s="25">
        <f>SUM(E1015,E1017,E1019,E1021)</f>
        <v>93</v>
      </c>
      <c r="F1022" s="23" t="str">
        <f>ROUND(E1022/60, 1) &amp; " Saat"</f>
        <v>1.6 Saat</v>
      </c>
      <c r="G1022" s="23" t="str">
        <f>COUNTIF(G1015:G1021, "X") &amp; "/4"</f>
        <v>0/4</v>
      </c>
    </row>
    <row r="1023" ht="22" customHeight="1" spans="1:7" x14ac:dyDescent="0.25">
      <c r="A1023" s="15" t="s">
        <v>74</v>
      </c>
      <c r="B1023" s="15"/>
      <c r="C1023" s="15"/>
      <c r="D1023" s="15"/>
      <c r="E1023" s="15"/>
      <c r="F1023" s="15"/>
      <c r="G1023" s="15"/>
    </row>
    <row r="1024" ht="22" customHeight="1" spans="1:7" x14ac:dyDescent="0.25">
      <c r="A1024" s="16" t="s">
        <v>18</v>
      </c>
      <c r="B1024" s="17" t="s">
        <v>47</v>
      </c>
      <c r="C1024" s="17" t="s">
        <v>499</v>
      </c>
      <c r="D1024" s="17" t="s">
        <v>49</v>
      </c>
      <c r="E1024" s="18">
        <v>41.8</v>
      </c>
      <c r="F1024" s="19" t="s">
        <v>22</v>
      </c>
      <c r="G1024" s="16" t="s">
        <v>23</v>
      </c>
    </row>
    <row r="1025" ht="20" customHeight="1" spans="1:7" x14ac:dyDescent="0.25">
      <c r="A1025" s="20" t="s">
        <v>24</v>
      </c>
      <c r="B1025" s="21" t="s">
        <v>25</v>
      </c>
      <c r="C1025" s="21" t="s">
        <v>26</v>
      </c>
      <c r="D1025" s="21" t="s">
        <v>27</v>
      </c>
      <c r="E1025" s="22" t="s">
        <v>23</v>
      </c>
      <c r="F1025" s="20" t="s">
        <v>27</v>
      </c>
      <c r="G1025" s="20" t="s">
        <v>27</v>
      </c>
    </row>
    <row r="1026" ht="22" customHeight="1" spans="1:7" x14ac:dyDescent="0.25">
      <c r="A1026" s="16" t="s">
        <v>28</v>
      </c>
      <c r="B1026" s="17" t="s">
        <v>47</v>
      </c>
      <c r="C1026" s="17" t="s">
        <v>500</v>
      </c>
      <c r="D1026" s="17" t="s">
        <v>49</v>
      </c>
      <c r="E1026" s="18">
        <v>23.1</v>
      </c>
      <c r="F1026" s="19" t="s">
        <v>22</v>
      </c>
      <c r="G1026" s="16" t="s">
        <v>23</v>
      </c>
    </row>
    <row r="1027" ht="20" customHeight="1" spans="1:7" x14ac:dyDescent="0.25">
      <c r="A1027" s="20" t="s">
        <v>30</v>
      </c>
      <c r="B1027" s="21" t="s">
        <v>25</v>
      </c>
      <c r="C1027" s="21" t="s">
        <v>26</v>
      </c>
      <c r="D1027" s="21" t="s">
        <v>27</v>
      </c>
      <c r="E1027" s="22" t="s">
        <v>23</v>
      </c>
      <c r="F1027" s="20" t="s">
        <v>27</v>
      </c>
      <c r="G1027" s="20" t="s">
        <v>27</v>
      </c>
    </row>
    <row r="1028" ht="22" customHeight="1" spans="1:7" x14ac:dyDescent="0.25">
      <c r="A1028" s="16" t="s">
        <v>31</v>
      </c>
      <c r="B1028" s="17" t="s">
        <v>52</v>
      </c>
      <c r="C1028" s="17" t="s">
        <v>501</v>
      </c>
      <c r="D1028" s="17" t="s">
        <v>54</v>
      </c>
      <c r="E1028" s="18">
        <v>34</v>
      </c>
      <c r="F1028" s="19" t="s">
        <v>22</v>
      </c>
      <c r="G1028" s="16" t="s">
        <v>23</v>
      </c>
    </row>
    <row r="1029" ht="20" customHeight="1" spans="1:7" x14ac:dyDescent="0.25">
      <c r="A1029" s="20" t="s">
        <v>35</v>
      </c>
      <c r="B1029" s="21" t="s">
        <v>25</v>
      </c>
      <c r="C1029" s="21" t="s">
        <v>26</v>
      </c>
      <c r="D1029" s="21" t="s">
        <v>27</v>
      </c>
      <c r="E1029" s="22" t="s">
        <v>23</v>
      </c>
      <c r="F1029" s="20" t="s">
        <v>27</v>
      </c>
      <c r="G1029" s="20" t="s">
        <v>27</v>
      </c>
    </row>
    <row r="1030" ht="22" customHeight="1" spans="1:7" x14ac:dyDescent="0.25">
      <c r="A1030" s="16" t="s">
        <v>36</v>
      </c>
      <c r="B1030" s="17" t="s">
        <v>52</v>
      </c>
      <c r="C1030" s="17" t="s">
        <v>502</v>
      </c>
      <c r="D1030" s="17" t="s">
        <v>54</v>
      </c>
      <c r="E1030" s="18">
        <v>27.7</v>
      </c>
      <c r="F1030" s="19" t="s">
        <v>22</v>
      </c>
      <c r="G1030" s="16" t="s">
        <v>23</v>
      </c>
    </row>
    <row r="1031" ht="24" customHeight="1" spans="1:7" x14ac:dyDescent="0.25">
      <c r="A1031" s="23" t="s">
        <v>38</v>
      </c>
      <c r="B1031" s="23" t="s">
        <v>39</v>
      </c>
      <c r="C1031" s="24" t="s">
        <v>40</v>
      </c>
      <c r="D1031" s="24" t="s">
        <v>41</v>
      </c>
      <c r="E1031" s="25">
        <f>SUM(E1024,E1026,E1028,E1030)</f>
        <v>126.6</v>
      </c>
      <c r="F1031" s="23" t="str">
        <f>ROUND(E1031/60, 1) &amp; " Saat"</f>
        <v>2.1 Saat</v>
      </c>
      <c r="G1031" s="23" t="str">
        <f>COUNTIF(G1024:G1030, "X") &amp; "/4"</f>
        <v>0/4</v>
      </c>
    </row>
    <row r="1032" ht="28" customHeight="1" spans="1:7" x14ac:dyDescent="0.25">
      <c r="A1032" s="26" t="s">
        <v>79</v>
      </c>
      <c r="B1032" s="26"/>
      <c r="C1032" s="26"/>
      <c r="D1032" s="26"/>
      <c r="E1032" s="26"/>
      <c r="F1032" s="26"/>
      <c r="G1032" s="26"/>
    </row>
    <row r="1033" ht="8" customHeight="1" x14ac:dyDescent="0.25"/>
    <row r="1034" ht="25" customHeight="1" spans="1:7" x14ac:dyDescent="0.25">
      <c r="A1034" s="14" t="s">
        <v>503</v>
      </c>
      <c r="B1034" s="14"/>
      <c r="C1034" s="14"/>
      <c r="D1034" s="14"/>
      <c r="E1034" s="14"/>
      <c r="F1034" s="14"/>
      <c r="G1034" s="14"/>
    </row>
    <row r="1035" ht="22" customHeight="1" spans="1:7" x14ac:dyDescent="0.25">
      <c r="A1035" s="15" t="s">
        <v>17</v>
      </c>
      <c r="B1035" s="15"/>
      <c r="C1035" s="15"/>
      <c r="D1035" s="15"/>
      <c r="E1035" s="15"/>
      <c r="F1035" s="15"/>
      <c r="G1035" s="15"/>
    </row>
    <row r="1036" ht="22" customHeight="1" spans="1:7" x14ac:dyDescent="0.25">
      <c r="A1036" s="16" t="s">
        <v>18</v>
      </c>
      <c r="B1036" s="17" t="s">
        <v>19</v>
      </c>
      <c r="C1036" s="17" t="s">
        <v>504</v>
      </c>
      <c r="D1036" s="17" t="s">
        <v>21</v>
      </c>
      <c r="E1036" s="18">
        <v>42.7</v>
      </c>
      <c r="F1036" s="19" t="s">
        <v>22</v>
      </c>
      <c r="G1036" s="16" t="s">
        <v>23</v>
      </c>
    </row>
    <row r="1037" ht="20" customHeight="1" spans="1:7" x14ac:dyDescent="0.25">
      <c r="A1037" s="20" t="s">
        <v>24</v>
      </c>
      <c r="B1037" s="21" t="s">
        <v>25</v>
      </c>
      <c r="C1037" s="21" t="s">
        <v>26</v>
      </c>
      <c r="D1037" s="21" t="s">
        <v>27</v>
      </c>
      <c r="E1037" s="22" t="s">
        <v>23</v>
      </c>
      <c r="F1037" s="20" t="s">
        <v>27</v>
      </c>
      <c r="G1037" s="20" t="s">
        <v>27</v>
      </c>
    </row>
    <row r="1038" ht="22" customHeight="1" spans="1:7" x14ac:dyDescent="0.25">
      <c r="A1038" s="16" t="s">
        <v>28</v>
      </c>
      <c r="B1038" s="17" t="s">
        <v>19</v>
      </c>
      <c r="C1038" s="17" t="s">
        <v>505</v>
      </c>
      <c r="D1038" s="17" t="s">
        <v>21</v>
      </c>
      <c r="E1038" s="18">
        <v>30.3</v>
      </c>
      <c r="F1038" s="19" t="s">
        <v>22</v>
      </c>
      <c r="G1038" s="16" t="s">
        <v>23</v>
      </c>
    </row>
    <row r="1039" ht="20" customHeight="1" spans="1:7" x14ac:dyDescent="0.25">
      <c r="A1039" s="20" t="s">
        <v>30</v>
      </c>
      <c r="B1039" s="21" t="s">
        <v>25</v>
      </c>
      <c r="C1039" s="21" t="s">
        <v>26</v>
      </c>
      <c r="D1039" s="21" t="s">
        <v>27</v>
      </c>
      <c r="E1039" s="22" t="s">
        <v>23</v>
      </c>
      <c r="F1039" s="20" t="s">
        <v>27</v>
      </c>
      <c r="G1039" s="20" t="s">
        <v>27</v>
      </c>
    </row>
    <row r="1040" ht="22" customHeight="1" spans="1:7" x14ac:dyDescent="0.25">
      <c r="A1040" s="16" t="s">
        <v>31</v>
      </c>
      <c r="B1040" s="17" t="s">
        <v>32</v>
      </c>
      <c r="C1040" s="17" t="s">
        <v>506</v>
      </c>
      <c r="D1040" s="17" t="s">
        <v>34</v>
      </c>
      <c r="E1040" s="18">
        <v>31.5</v>
      </c>
      <c r="F1040" s="19" t="s">
        <v>22</v>
      </c>
      <c r="G1040" s="16" t="s">
        <v>23</v>
      </c>
    </row>
    <row r="1041" ht="20" customHeight="1" spans="1:7" x14ac:dyDescent="0.25">
      <c r="A1041" s="20" t="s">
        <v>35</v>
      </c>
      <c r="B1041" s="21" t="s">
        <v>25</v>
      </c>
      <c r="C1041" s="21" t="s">
        <v>26</v>
      </c>
      <c r="D1041" s="21" t="s">
        <v>27</v>
      </c>
      <c r="E1041" s="22" t="s">
        <v>23</v>
      </c>
      <c r="F1041" s="20" t="s">
        <v>27</v>
      </c>
      <c r="G1041" s="20" t="s">
        <v>27</v>
      </c>
    </row>
    <row r="1042" ht="22" customHeight="1" spans="1:7" x14ac:dyDescent="0.25">
      <c r="A1042" s="16" t="s">
        <v>36</v>
      </c>
      <c r="B1042" s="17" t="s">
        <v>32</v>
      </c>
      <c r="C1042" s="17" t="s">
        <v>507</v>
      </c>
      <c r="D1042" s="17" t="s">
        <v>34</v>
      </c>
      <c r="E1042" s="18">
        <v>29.7</v>
      </c>
      <c r="F1042" s="19" t="s">
        <v>22</v>
      </c>
      <c r="G1042" s="16" t="s">
        <v>23</v>
      </c>
    </row>
    <row r="1043" ht="24" customHeight="1" spans="1:7" x14ac:dyDescent="0.25">
      <c r="A1043" s="23" t="s">
        <v>38</v>
      </c>
      <c r="B1043" s="23" t="s">
        <v>39</v>
      </c>
      <c r="C1043" s="24" t="s">
        <v>40</v>
      </c>
      <c r="D1043" s="24" t="s">
        <v>41</v>
      </c>
      <c r="E1043" s="25">
        <f>SUM(E1036,E1038,E1040,E1042)</f>
        <v>134.2</v>
      </c>
      <c r="F1043" s="23" t="str">
        <f>ROUND(E1043/60, 1) &amp; " Saat"</f>
        <v>2.2 Saat</v>
      </c>
      <c r="G1043" s="23" t="str">
        <f>COUNTIF(G1036:G1042, "X") &amp; "/4"</f>
        <v>0/4</v>
      </c>
    </row>
    <row r="1044" ht="22" customHeight="1" spans="1:7" x14ac:dyDescent="0.25">
      <c r="A1044" s="15" t="s">
        <v>42</v>
      </c>
      <c r="B1044" s="15"/>
      <c r="C1044" s="15"/>
      <c r="D1044" s="15"/>
      <c r="E1044" s="15"/>
      <c r="F1044" s="15"/>
      <c r="G1044" s="15"/>
    </row>
    <row r="1045" ht="22" customHeight="1" spans="1:7" x14ac:dyDescent="0.25">
      <c r="A1045" s="16" t="s">
        <v>18</v>
      </c>
      <c r="B1045" s="17" t="s">
        <v>43</v>
      </c>
      <c r="C1045" s="17" t="s">
        <v>508</v>
      </c>
      <c r="D1045" s="17" t="s">
        <v>45</v>
      </c>
      <c r="E1045" s="18">
        <v>52.6</v>
      </c>
      <c r="F1045" s="19" t="s">
        <v>22</v>
      </c>
      <c r="G1045" s="16" t="s">
        <v>23</v>
      </c>
    </row>
    <row r="1046" ht="20" customHeight="1" spans="1:7" x14ac:dyDescent="0.25">
      <c r="A1046" s="20" t="s">
        <v>24</v>
      </c>
      <c r="B1046" s="21" t="s">
        <v>25</v>
      </c>
      <c r="C1046" s="21" t="s">
        <v>26</v>
      </c>
      <c r="D1046" s="21" t="s">
        <v>27</v>
      </c>
      <c r="E1046" s="22" t="s">
        <v>23</v>
      </c>
      <c r="F1046" s="20" t="s">
        <v>27</v>
      </c>
      <c r="G1046" s="20" t="s">
        <v>27</v>
      </c>
    </row>
    <row r="1047" ht="22" customHeight="1" spans="1:7" x14ac:dyDescent="0.25">
      <c r="A1047" s="16" t="s">
        <v>28</v>
      </c>
      <c r="B1047" s="17" t="s">
        <v>43</v>
      </c>
      <c r="C1047" s="17" t="s">
        <v>509</v>
      </c>
      <c r="D1047" s="17" t="s">
        <v>45</v>
      </c>
      <c r="E1047" s="18">
        <v>41.6</v>
      </c>
      <c r="F1047" s="19" t="s">
        <v>22</v>
      </c>
      <c r="G1047" s="16" t="s">
        <v>23</v>
      </c>
    </row>
    <row r="1048" ht="20" customHeight="1" spans="1:7" x14ac:dyDescent="0.25">
      <c r="A1048" s="20" t="s">
        <v>30</v>
      </c>
      <c r="B1048" s="21" t="s">
        <v>25</v>
      </c>
      <c r="C1048" s="21" t="s">
        <v>26</v>
      </c>
      <c r="D1048" s="21" t="s">
        <v>27</v>
      </c>
      <c r="E1048" s="22" t="s">
        <v>23</v>
      </c>
      <c r="F1048" s="20" t="s">
        <v>27</v>
      </c>
      <c r="G1048" s="20" t="s">
        <v>27</v>
      </c>
    </row>
    <row r="1049" ht="22" customHeight="1" spans="1:7" x14ac:dyDescent="0.25">
      <c r="A1049" s="16" t="s">
        <v>31</v>
      </c>
      <c r="B1049" s="17" t="s">
        <v>47</v>
      </c>
      <c r="C1049" s="17" t="s">
        <v>510</v>
      </c>
      <c r="D1049" s="17" t="s">
        <v>49</v>
      </c>
      <c r="E1049" s="18">
        <v>35.2</v>
      </c>
      <c r="F1049" s="19" t="s">
        <v>22</v>
      </c>
      <c r="G1049" s="16" t="s">
        <v>23</v>
      </c>
    </row>
    <row r="1050" ht="20" customHeight="1" spans="1:7" x14ac:dyDescent="0.25">
      <c r="A1050" s="20" t="s">
        <v>35</v>
      </c>
      <c r="B1050" s="21" t="s">
        <v>25</v>
      </c>
      <c r="C1050" s="21" t="s">
        <v>26</v>
      </c>
      <c r="D1050" s="21" t="s">
        <v>27</v>
      </c>
      <c r="E1050" s="22" t="s">
        <v>23</v>
      </c>
      <c r="F1050" s="20" t="s">
        <v>27</v>
      </c>
      <c r="G1050" s="20" t="s">
        <v>27</v>
      </c>
    </row>
    <row r="1051" ht="22" customHeight="1" spans="1:7" x14ac:dyDescent="0.25">
      <c r="A1051" s="16" t="s">
        <v>36</v>
      </c>
      <c r="B1051" s="17" t="s">
        <v>47</v>
      </c>
      <c r="C1051" s="17" t="s">
        <v>511</v>
      </c>
      <c r="D1051" s="17" t="s">
        <v>49</v>
      </c>
      <c r="E1051" s="18">
        <v>46.5</v>
      </c>
      <c r="F1051" s="19" t="s">
        <v>22</v>
      </c>
      <c r="G1051" s="16" t="s">
        <v>23</v>
      </c>
    </row>
    <row r="1052" ht="24" customHeight="1" spans="1:7" x14ac:dyDescent="0.25">
      <c r="A1052" s="23" t="s">
        <v>38</v>
      </c>
      <c r="B1052" s="23" t="s">
        <v>39</v>
      </c>
      <c r="C1052" s="24" t="s">
        <v>40</v>
      </c>
      <c r="D1052" s="24" t="s">
        <v>41</v>
      </c>
      <c r="E1052" s="25">
        <f>SUM(E1045,E1047,E1049,E1051)</f>
        <v>175.9</v>
      </c>
      <c r="F1052" s="23" t="str">
        <f>ROUND(E1052/60, 1) &amp; " Saat"</f>
        <v>2.9 Saat</v>
      </c>
      <c r="G1052" s="23" t="str">
        <f>COUNTIF(G1045:G1051, "X") &amp; "/4"</f>
        <v>0/4</v>
      </c>
    </row>
    <row r="1053" ht="22" customHeight="1" spans="1:7" x14ac:dyDescent="0.25">
      <c r="A1053" s="15" t="s">
        <v>51</v>
      </c>
      <c r="B1053" s="15"/>
      <c r="C1053" s="15"/>
      <c r="D1053" s="15"/>
      <c r="E1053" s="15"/>
      <c r="F1053" s="15"/>
      <c r="G1053" s="15"/>
    </row>
    <row r="1054" ht="22" customHeight="1" spans="1:7" x14ac:dyDescent="0.25">
      <c r="A1054" s="16" t="s">
        <v>18</v>
      </c>
      <c r="B1054" s="17" t="s">
        <v>52</v>
      </c>
      <c r="C1054" s="17" t="s">
        <v>512</v>
      </c>
      <c r="D1054" s="17" t="s">
        <v>54</v>
      </c>
      <c r="E1054" s="18">
        <v>15.6</v>
      </c>
      <c r="F1054" s="19" t="s">
        <v>22</v>
      </c>
      <c r="G1054" s="16" t="s">
        <v>23</v>
      </c>
    </row>
    <row r="1055" ht="20" customHeight="1" spans="1:7" x14ac:dyDescent="0.25">
      <c r="A1055" s="20" t="s">
        <v>24</v>
      </c>
      <c r="B1055" s="21" t="s">
        <v>25</v>
      </c>
      <c r="C1055" s="21" t="s">
        <v>26</v>
      </c>
      <c r="D1055" s="21" t="s">
        <v>27</v>
      </c>
      <c r="E1055" s="22" t="s">
        <v>23</v>
      </c>
      <c r="F1055" s="20" t="s">
        <v>27</v>
      </c>
      <c r="G1055" s="20" t="s">
        <v>27</v>
      </c>
    </row>
    <row r="1056" ht="22" customHeight="1" spans="1:7" x14ac:dyDescent="0.25">
      <c r="A1056" s="16" t="s">
        <v>28</v>
      </c>
      <c r="B1056" s="17" t="s">
        <v>52</v>
      </c>
      <c r="C1056" s="17" t="s">
        <v>513</v>
      </c>
      <c r="D1056" s="17" t="s">
        <v>54</v>
      </c>
      <c r="E1056" s="18">
        <v>16.2</v>
      </c>
      <c r="F1056" s="19" t="s">
        <v>22</v>
      </c>
      <c r="G1056" s="16" t="s">
        <v>23</v>
      </c>
    </row>
    <row r="1057" ht="20" customHeight="1" spans="1:7" x14ac:dyDescent="0.25">
      <c r="A1057" s="20" t="s">
        <v>30</v>
      </c>
      <c r="B1057" s="21" t="s">
        <v>25</v>
      </c>
      <c r="C1057" s="21" t="s">
        <v>26</v>
      </c>
      <c r="D1057" s="21" t="s">
        <v>27</v>
      </c>
      <c r="E1057" s="22" t="s">
        <v>23</v>
      </c>
      <c r="F1057" s="20" t="s">
        <v>27</v>
      </c>
      <c r="G1057" s="20" t="s">
        <v>27</v>
      </c>
    </row>
    <row r="1058" ht="22" customHeight="1" spans="1:7" x14ac:dyDescent="0.25">
      <c r="A1058" s="16" t="s">
        <v>31</v>
      </c>
      <c r="B1058" s="17" t="s">
        <v>56</v>
      </c>
      <c r="C1058" s="17" t="s">
        <v>467</v>
      </c>
      <c r="D1058" s="17" t="s">
        <v>23</v>
      </c>
      <c r="E1058" s="18">
        <v>40</v>
      </c>
      <c r="F1058" s="16" t="s">
        <v>27</v>
      </c>
      <c r="G1058" s="16" t="s">
        <v>23</v>
      </c>
    </row>
    <row r="1059" ht="20" customHeight="1" spans="1:7" x14ac:dyDescent="0.25">
      <c r="A1059" s="20" t="s">
        <v>35</v>
      </c>
      <c r="B1059" s="21" t="s">
        <v>25</v>
      </c>
      <c r="C1059" s="21" t="s">
        <v>26</v>
      </c>
      <c r="D1059" s="21" t="s">
        <v>27</v>
      </c>
      <c r="E1059" s="22" t="s">
        <v>23</v>
      </c>
      <c r="F1059" s="20" t="s">
        <v>27</v>
      </c>
      <c r="G1059" s="20" t="s">
        <v>27</v>
      </c>
    </row>
    <row r="1060" ht="22" customHeight="1" spans="1:7" x14ac:dyDescent="0.25">
      <c r="A1060" s="16" t="s">
        <v>36</v>
      </c>
      <c r="B1060" s="17" t="s">
        <v>56</v>
      </c>
      <c r="C1060" s="17" t="s">
        <v>467</v>
      </c>
      <c r="D1060" s="17" t="s">
        <v>23</v>
      </c>
      <c r="E1060" s="18">
        <v>40</v>
      </c>
      <c r="F1060" s="16" t="s">
        <v>27</v>
      </c>
      <c r="G1060" s="16" t="s">
        <v>23</v>
      </c>
    </row>
    <row r="1061" ht="24" customHeight="1" spans="1:7" x14ac:dyDescent="0.25">
      <c r="A1061" s="23" t="s">
        <v>38</v>
      </c>
      <c r="B1061" s="23" t="s">
        <v>39</v>
      </c>
      <c r="C1061" s="24" t="s">
        <v>40</v>
      </c>
      <c r="D1061" s="24" t="s">
        <v>41</v>
      </c>
      <c r="E1061" s="25">
        <f>SUM(E1054,E1056,E1058,E1060)</f>
        <v>111.8</v>
      </c>
      <c r="F1061" s="23" t="str">
        <f>ROUND(E1061/60, 1) &amp; " Saat"</f>
        <v>1.9 Saat</v>
      </c>
      <c r="G1061" s="23" t="str">
        <f>COUNTIF(G1054:G1060, "X") &amp; "/4"</f>
        <v>0/4</v>
      </c>
    </row>
    <row r="1062" ht="22" customHeight="1" spans="1:7" x14ac:dyDescent="0.25">
      <c r="A1062" s="15" t="s">
        <v>60</v>
      </c>
      <c r="B1062" s="15"/>
      <c r="C1062" s="15"/>
      <c r="D1062" s="15"/>
      <c r="E1062" s="15"/>
      <c r="F1062" s="15"/>
      <c r="G1062" s="15"/>
    </row>
    <row r="1063" ht="22" customHeight="1" spans="1:7" x14ac:dyDescent="0.25">
      <c r="A1063" s="16" t="s">
        <v>18</v>
      </c>
      <c r="B1063" s="17" t="s">
        <v>43</v>
      </c>
      <c r="C1063" s="17" t="s">
        <v>514</v>
      </c>
      <c r="D1063" s="17" t="s">
        <v>45</v>
      </c>
      <c r="E1063" s="18">
        <v>53</v>
      </c>
      <c r="F1063" s="19" t="s">
        <v>22</v>
      </c>
      <c r="G1063" s="16" t="s">
        <v>23</v>
      </c>
    </row>
    <row r="1064" ht="20" customHeight="1" spans="1:7" x14ac:dyDescent="0.25">
      <c r="A1064" s="20" t="s">
        <v>24</v>
      </c>
      <c r="B1064" s="21" t="s">
        <v>25</v>
      </c>
      <c r="C1064" s="21" t="s">
        <v>26</v>
      </c>
      <c r="D1064" s="21" t="s">
        <v>27</v>
      </c>
      <c r="E1064" s="22" t="s">
        <v>23</v>
      </c>
      <c r="F1064" s="20" t="s">
        <v>27</v>
      </c>
      <c r="G1064" s="20" t="s">
        <v>27</v>
      </c>
    </row>
    <row r="1065" ht="22" customHeight="1" spans="1:7" x14ac:dyDescent="0.25">
      <c r="A1065" s="16" t="s">
        <v>28</v>
      </c>
      <c r="B1065" s="17" t="s">
        <v>43</v>
      </c>
      <c r="C1065" s="17" t="s">
        <v>515</v>
      </c>
      <c r="D1065" s="17" t="s">
        <v>45</v>
      </c>
      <c r="E1065" s="18">
        <v>34.8</v>
      </c>
      <c r="F1065" s="19" t="s">
        <v>22</v>
      </c>
      <c r="G1065" s="16" t="s">
        <v>23</v>
      </c>
    </row>
    <row r="1066" ht="20" customHeight="1" spans="1:7" x14ac:dyDescent="0.25">
      <c r="A1066" s="20" t="s">
        <v>30</v>
      </c>
      <c r="B1066" s="21" t="s">
        <v>25</v>
      </c>
      <c r="C1066" s="21" t="s">
        <v>26</v>
      </c>
      <c r="D1066" s="21" t="s">
        <v>27</v>
      </c>
      <c r="E1066" s="22" t="s">
        <v>23</v>
      </c>
      <c r="F1066" s="20" t="s">
        <v>27</v>
      </c>
      <c r="G1066" s="20" t="s">
        <v>27</v>
      </c>
    </row>
    <row r="1067" ht="22" customHeight="1" spans="1:7" x14ac:dyDescent="0.25">
      <c r="A1067" s="16" t="s">
        <v>31</v>
      </c>
      <c r="B1067" s="17" t="s">
        <v>63</v>
      </c>
      <c r="C1067" s="17" t="s">
        <v>516</v>
      </c>
      <c r="D1067" s="17" t="s">
        <v>65</v>
      </c>
      <c r="E1067" s="18">
        <v>28.4</v>
      </c>
      <c r="F1067" s="19" t="s">
        <v>22</v>
      </c>
      <c r="G1067" s="16" t="s">
        <v>23</v>
      </c>
    </row>
    <row r="1068" ht="20" customHeight="1" spans="1:7" x14ac:dyDescent="0.25">
      <c r="A1068" s="20" t="s">
        <v>35</v>
      </c>
      <c r="B1068" s="21" t="s">
        <v>25</v>
      </c>
      <c r="C1068" s="21" t="s">
        <v>26</v>
      </c>
      <c r="D1068" s="21" t="s">
        <v>27</v>
      </c>
      <c r="E1068" s="22" t="s">
        <v>23</v>
      </c>
      <c r="F1068" s="20" t="s">
        <v>27</v>
      </c>
      <c r="G1068" s="20" t="s">
        <v>27</v>
      </c>
    </row>
    <row r="1069" ht="22" customHeight="1" spans="1:7" x14ac:dyDescent="0.25">
      <c r="A1069" s="16" t="s">
        <v>36</v>
      </c>
      <c r="B1069" s="17" t="s">
        <v>63</v>
      </c>
      <c r="C1069" s="17" t="s">
        <v>517</v>
      </c>
      <c r="D1069" s="17" t="s">
        <v>65</v>
      </c>
      <c r="E1069" s="18">
        <v>21.8</v>
      </c>
      <c r="F1069" s="19" t="s">
        <v>22</v>
      </c>
      <c r="G1069" s="16" t="s">
        <v>23</v>
      </c>
    </row>
    <row r="1070" ht="24" customHeight="1" spans="1:7" x14ac:dyDescent="0.25">
      <c r="A1070" s="23" t="s">
        <v>38</v>
      </c>
      <c r="B1070" s="23" t="s">
        <v>39</v>
      </c>
      <c r="C1070" s="24" t="s">
        <v>40</v>
      </c>
      <c r="D1070" s="24" t="s">
        <v>41</v>
      </c>
      <c r="E1070" s="25">
        <f>SUM(E1063,E1065,E1067,E1069)</f>
        <v>138</v>
      </c>
      <c r="F1070" s="23" t="str">
        <f>ROUND(E1070/60, 1) &amp; " Saat"</f>
        <v>2.3 Saat</v>
      </c>
      <c r="G1070" s="23" t="str">
        <f>COUNTIF(G1063:G1069, "X") &amp; "/4"</f>
        <v>0/4</v>
      </c>
    </row>
    <row r="1071" ht="22" customHeight="1" spans="1:7" x14ac:dyDescent="0.25">
      <c r="A1071" s="15" t="s">
        <v>67</v>
      </c>
      <c r="B1071" s="15"/>
      <c r="C1071" s="15"/>
      <c r="D1071" s="15"/>
      <c r="E1071" s="15"/>
      <c r="F1071" s="15"/>
      <c r="G1071" s="15"/>
    </row>
    <row r="1072" ht="22" customHeight="1" spans="1:7" x14ac:dyDescent="0.25">
      <c r="A1072" s="16" t="s">
        <v>18</v>
      </c>
      <c r="B1072" s="17" t="s">
        <v>68</v>
      </c>
      <c r="C1072" s="17" t="s">
        <v>518</v>
      </c>
      <c r="D1072" s="17" t="s">
        <v>70</v>
      </c>
      <c r="E1072" s="18">
        <v>24.1</v>
      </c>
      <c r="F1072" s="19" t="s">
        <v>22</v>
      </c>
      <c r="G1072" s="16" t="s">
        <v>23</v>
      </c>
    </row>
    <row r="1073" ht="20" customHeight="1" spans="1:7" x14ac:dyDescent="0.25">
      <c r="A1073" s="20" t="s">
        <v>24</v>
      </c>
      <c r="B1073" s="21" t="s">
        <v>25</v>
      </c>
      <c r="C1073" s="21" t="s">
        <v>26</v>
      </c>
      <c r="D1073" s="21" t="s">
        <v>27</v>
      </c>
      <c r="E1073" s="22" t="s">
        <v>23</v>
      </c>
      <c r="F1073" s="20" t="s">
        <v>27</v>
      </c>
      <c r="G1073" s="20" t="s">
        <v>27</v>
      </c>
    </row>
    <row r="1074" ht="22" customHeight="1" spans="1:7" x14ac:dyDescent="0.25">
      <c r="A1074" s="16" t="s">
        <v>28</v>
      </c>
      <c r="B1074" s="17" t="s">
        <v>68</v>
      </c>
      <c r="C1074" s="17" t="s">
        <v>519</v>
      </c>
      <c r="D1074" s="17" t="s">
        <v>70</v>
      </c>
      <c r="E1074" s="18">
        <v>38.1</v>
      </c>
      <c r="F1074" s="19" t="s">
        <v>22</v>
      </c>
      <c r="G1074" s="16" t="s">
        <v>23</v>
      </c>
    </row>
    <row r="1075" ht="20" customHeight="1" spans="1:7" x14ac:dyDescent="0.25">
      <c r="A1075" s="20" t="s">
        <v>30</v>
      </c>
      <c r="B1075" s="21" t="s">
        <v>25</v>
      </c>
      <c r="C1075" s="21" t="s">
        <v>26</v>
      </c>
      <c r="D1075" s="21" t="s">
        <v>27</v>
      </c>
      <c r="E1075" s="22" t="s">
        <v>23</v>
      </c>
      <c r="F1075" s="20" t="s">
        <v>27</v>
      </c>
      <c r="G1075" s="20" t="s">
        <v>27</v>
      </c>
    </row>
    <row r="1076" ht="22" customHeight="1" spans="1:7" x14ac:dyDescent="0.25">
      <c r="A1076" s="16" t="s">
        <v>31</v>
      </c>
      <c r="B1076" s="17" t="s">
        <v>449</v>
      </c>
      <c r="C1076" s="17" t="s">
        <v>520</v>
      </c>
      <c r="D1076" s="17" t="s">
        <v>34</v>
      </c>
      <c r="E1076" s="18">
        <v>24</v>
      </c>
      <c r="F1076" s="19" t="s">
        <v>22</v>
      </c>
      <c r="G1076" s="16" t="s">
        <v>23</v>
      </c>
    </row>
    <row r="1077" ht="20" customHeight="1" spans="1:7" x14ac:dyDescent="0.25">
      <c r="A1077" s="20" t="s">
        <v>35</v>
      </c>
      <c r="B1077" s="21" t="s">
        <v>25</v>
      </c>
      <c r="C1077" s="21" t="s">
        <v>26</v>
      </c>
      <c r="D1077" s="21" t="s">
        <v>27</v>
      </c>
      <c r="E1077" s="22" t="s">
        <v>23</v>
      </c>
      <c r="F1077" s="20" t="s">
        <v>27</v>
      </c>
      <c r="G1077" s="20" t="s">
        <v>27</v>
      </c>
    </row>
    <row r="1078" ht="22" customHeight="1" spans="1:7" x14ac:dyDescent="0.25">
      <c r="A1078" s="16" t="s">
        <v>36</v>
      </c>
      <c r="B1078" s="17" t="s">
        <v>449</v>
      </c>
      <c r="C1078" s="17" t="s">
        <v>521</v>
      </c>
      <c r="D1078" s="17" t="s">
        <v>34</v>
      </c>
      <c r="E1078" s="18">
        <v>20.9</v>
      </c>
      <c r="F1078" s="19" t="s">
        <v>22</v>
      </c>
      <c r="G1078" s="16" t="s">
        <v>23</v>
      </c>
    </row>
    <row r="1079" ht="24" customHeight="1" spans="1:7" x14ac:dyDescent="0.25">
      <c r="A1079" s="23" t="s">
        <v>38</v>
      </c>
      <c r="B1079" s="23" t="s">
        <v>39</v>
      </c>
      <c r="C1079" s="24" t="s">
        <v>40</v>
      </c>
      <c r="D1079" s="24" t="s">
        <v>41</v>
      </c>
      <c r="E1079" s="25">
        <f>SUM(E1072,E1074,E1076,E1078)</f>
        <v>107.1</v>
      </c>
      <c r="F1079" s="23" t="str">
        <f>ROUND(E1079/60, 1) &amp; " Saat"</f>
        <v>1.8 Saat</v>
      </c>
      <c r="G1079" s="23" t="str">
        <f>COUNTIF(G1072:G1078, "X") &amp; "/4"</f>
        <v>0/4</v>
      </c>
    </row>
    <row r="1080" ht="22" customHeight="1" spans="1:7" x14ac:dyDescent="0.25">
      <c r="A1080" s="15" t="s">
        <v>74</v>
      </c>
      <c r="B1080" s="15"/>
      <c r="C1080" s="15"/>
      <c r="D1080" s="15"/>
      <c r="E1080" s="15"/>
      <c r="F1080" s="15"/>
      <c r="G1080" s="15"/>
    </row>
    <row r="1081" ht="22" customHeight="1" spans="1:7" x14ac:dyDescent="0.25">
      <c r="A1081" s="16" t="s">
        <v>18</v>
      </c>
      <c r="B1081" s="17" t="s">
        <v>47</v>
      </c>
      <c r="C1081" s="17" t="s">
        <v>522</v>
      </c>
      <c r="D1081" s="17" t="s">
        <v>49</v>
      </c>
      <c r="E1081" s="18">
        <v>41</v>
      </c>
      <c r="F1081" s="19" t="s">
        <v>22</v>
      </c>
      <c r="G1081" s="16" t="s">
        <v>23</v>
      </c>
    </row>
    <row r="1082" ht="20" customHeight="1" spans="1:7" x14ac:dyDescent="0.25">
      <c r="A1082" s="20" t="s">
        <v>24</v>
      </c>
      <c r="B1082" s="21" t="s">
        <v>25</v>
      </c>
      <c r="C1082" s="21" t="s">
        <v>26</v>
      </c>
      <c r="D1082" s="21" t="s">
        <v>27</v>
      </c>
      <c r="E1082" s="22" t="s">
        <v>23</v>
      </c>
      <c r="F1082" s="20" t="s">
        <v>27</v>
      </c>
      <c r="G1082" s="20" t="s">
        <v>27</v>
      </c>
    </row>
    <row r="1083" ht="22" customHeight="1" spans="1:7" x14ac:dyDescent="0.25">
      <c r="A1083" s="16" t="s">
        <v>28</v>
      </c>
      <c r="B1083" s="17" t="s">
        <v>47</v>
      </c>
      <c r="C1083" s="17" t="s">
        <v>523</v>
      </c>
      <c r="D1083" s="17" t="s">
        <v>49</v>
      </c>
      <c r="E1083" s="18">
        <v>46.4</v>
      </c>
      <c r="F1083" s="19" t="s">
        <v>22</v>
      </c>
      <c r="G1083" s="16" t="s">
        <v>23</v>
      </c>
    </row>
    <row r="1084" ht="20" customHeight="1" spans="1:7" x14ac:dyDescent="0.25">
      <c r="A1084" s="20" t="s">
        <v>30</v>
      </c>
      <c r="B1084" s="21" t="s">
        <v>25</v>
      </c>
      <c r="C1084" s="21" t="s">
        <v>26</v>
      </c>
      <c r="D1084" s="21" t="s">
        <v>27</v>
      </c>
      <c r="E1084" s="22" t="s">
        <v>23</v>
      </c>
      <c r="F1084" s="20" t="s">
        <v>27</v>
      </c>
      <c r="G1084" s="20" t="s">
        <v>27</v>
      </c>
    </row>
    <row r="1085" ht="22" customHeight="1" spans="1:7" x14ac:dyDescent="0.25">
      <c r="A1085" s="16" t="s">
        <v>31</v>
      </c>
      <c r="B1085" s="17" t="s">
        <v>52</v>
      </c>
      <c r="C1085" s="17" t="s">
        <v>524</v>
      </c>
      <c r="D1085" s="17" t="s">
        <v>54</v>
      </c>
      <c r="E1085" s="18">
        <v>28.9</v>
      </c>
      <c r="F1085" s="19" t="s">
        <v>22</v>
      </c>
      <c r="G1085" s="16" t="s">
        <v>23</v>
      </c>
    </row>
    <row r="1086" ht="20" customHeight="1" spans="1:7" x14ac:dyDescent="0.25">
      <c r="A1086" s="20" t="s">
        <v>35</v>
      </c>
      <c r="B1086" s="21" t="s">
        <v>25</v>
      </c>
      <c r="C1086" s="21" t="s">
        <v>26</v>
      </c>
      <c r="D1086" s="21" t="s">
        <v>27</v>
      </c>
      <c r="E1086" s="22" t="s">
        <v>23</v>
      </c>
      <c r="F1086" s="20" t="s">
        <v>27</v>
      </c>
      <c r="G1086" s="20" t="s">
        <v>27</v>
      </c>
    </row>
    <row r="1087" ht="22" customHeight="1" spans="1:7" x14ac:dyDescent="0.25">
      <c r="A1087" s="16" t="s">
        <v>36</v>
      </c>
      <c r="B1087" s="17" t="s">
        <v>52</v>
      </c>
      <c r="C1087" s="17" t="s">
        <v>525</v>
      </c>
      <c r="D1087" s="17" t="s">
        <v>54</v>
      </c>
      <c r="E1087" s="18">
        <v>86.2</v>
      </c>
      <c r="F1087" s="19" t="s">
        <v>22</v>
      </c>
      <c r="G1087" s="16" t="s">
        <v>23</v>
      </c>
    </row>
    <row r="1088" ht="24" customHeight="1" spans="1:7" x14ac:dyDescent="0.25">
      <c r="A1088" s="23" t="s">
        <v>38</v>
      </c>
      <c r="B1088" s="23" t="s">
        <v>39</v>
      </c>
      <c r="C1088" s="24" t="s">
        <v>40</v>
      </c>
      <c r="D1088" s="24" t="s">
        <v>41</v>
      </c>
      <c r="E1088" s="25">
        <f>SUM(E1081,E1083,E1085,E1087)</f>
        <v>202.5</v>
      </c>
      <c r="F1088" s="23" t="str">
        <f>ROUND(E1088/60, 1) &amp; " Saat"</f>
        <v>3.4 Saat</v>
      </c>
      <c r="G1088" s="23" t="str">
        <f>COUNTIF(G1081:G1087, "X") &amp; "/4"</f>
        <v>0/4</v>
      </c>
    </row>
    <row r="1089" ht="28" customHeight="1" spans="1:7" x14ac:dyDescent="0.25">
      <c r="A1089" s="26" t="s">
        <v>79</v>
      </c>
      <c r="B1089" s="26"/>
      <c r="C1089" s="26"/>
      <c r="D1089" s="26"/>
      <c r="E1089" s="26"/>
      <c r="F1089" s="26"/>
      <c r="G1089" s="26"/>
    </row>
    <row r="1090" ht="8" customHeight="1" x14ac:dyDescent="0.25"/>
    <row r="1091" ht="25" customHeight="1" spans="1:7" x14ac:dyDescent="0.25">
      <c r="A1091" s="14" t="s">
        <v>526</v>
      </c>
      <c r="B1091" s="14"/>
      <c r="C1091" s="14"/>
      <c r="D1091" s="14"/>
      <c r="E1091" s="14"/>
      <c r="F1091" s="14"/>
      <c r="G1091" s="14"/>
    </row>
    <row r="1092" ht="22" customHeight="1" spans="1:7" x14ac:dyDescent="0.25">
      <c r="A1092" s="15" t="s">
        <v>17</v>
      </c>
      <c r="B1092" s="15"/>
      <c r="C1092" s="15"/>
      <c r="D1092" s="15"/>
      <c r="E1092" s="15"/>
      <c r="F1092" s="15"/>
      <c r="G1092" s="15"/>
    </row>
    <row r="1093" ht="22" customHeight="1" spans="1:7" x14ac:dyDescent="0.25">
      <c r="A1093" s="16" t="s">
        <v>18</v>
      </c>
      <c r="B1093" s="17" t="s">
        <v>19</v>
      </c>
      <c r="C1093" s="17" t="s">
        <v>527</v>
      </c>
      <c r="D1093" s="17" t="s">
        <v>21</v>
      </c>
      <c r="E1093" s="18">
        <v>23.6</v>
      </c>
      <c r="F1093" s="19" t="s">
        <v>22</v>
      </c>
      <c r="G1093" s="16" t="s">
        <v>23</v>
      </c>
    </row>
    <row r="1094" ht="20" customHeight="1" spans="1:7" x14ac:dyDescent="0.25">
      <c r="A1094" s="20" t="s">
        <v>24</v>
      </c>
      <c r="B1094" s="21" t="s">
        <v>25</v>
      </c>
      <c r="C1094" s="21" t="s">
        <v>26</v>
      </c>
      <c r="D1094" s="21" t="s">
        <v>27</v>
      </c>
      <c r="E1094" s="22" t="s">
        <v>23</v>
      </c>
      <c r="F1094" s="20" t="s">
        <v>27</v>
      </c>
      <c r="G1094" s="20" t="s">
        <v>27</v>
      </c>
    </row>
    <row r="1095" ht="22" customHeight="1" spans="1:7" x14ac:dyDescent="0.25">
      <c r="A1095" s="16" t="s">
        <v>28</v>
      </c>
      <c r="B1095" s="17" t="s">
        <v>19</v>
      </c>
      <c r="C1095" s="17" t="s">
        <v>528</v>
      </c>
      <c r="D1095" s="17" t="s">
        <v>21</v>
      </c>
      <c r="E1095" s="18">
        <v>12</v>
      </c>
      <c r="F1095" s="19" t="s">
        <v>22</v>
      </c>
      <c r="G1095" s="16" t="s">
        <v>23</v>
      </c>
    </row>
    <row r="1096" ht="20" customHeight="1" spans="1:7" x14ac:dyDescent="0.25">
      <c r="A1096" s="20" t="s">
        <v>30</v>
      </c>
      <c r="B1096" s="21" t="s">
        <v>25</v>
      </c>
      <c r="C1096" s="21" t="s">
        <v>26</v>
      </c>
      <c r="D1096" s="21" t="s">
        <v>27</v>
      </c>
      <c r="E1096" s="22" t="s">
        <v>23</v>
      </c>
      <c r="F1096" s="20" t="s">
        <v>27</v>
      </c>
      <c r="G1096" s="20" t="s">
        <v>27</v>
      </c>
    </row>
    <row r="1097" ht="22" customHeight="1" spans="1:7" x14ac:dyDescent="0.25">
      <c r="A1097" s="16" t="s">
        <v>31</v>
      </c>
      <c r="B1097" s="17" t="s">
        <v>32</v>
      </c>
      <c r="C1097" s="17" t="s">
        <v>529</v>
      </c>
      <c r="D1097" s="17" t="s">
        <v>34</v>
      </c>
      <c r="E1097" s="18">
        <v>45.1</v>
      </c>
      <c r="F1097" s="19" t="s">
        <v>22</v>
      </c>
      <c r="G1097" s="16" t="s">
        <v>23</v>
      </c>
    </row>
    <row r="1098" ht="20" customHeight="1" spans="1:7" x14ac:dyDescent="0.25">
      <c r="A1098" s="20" t="s">
        <v>35</v>
      </c>
      <c r="B1098" s="21" t="s">
        <v>25</v>
      </c>
      <c r="C1098" s="21" t="s">
        <v>26</v>
      </c>
      <c r="D1098" s="21" t="s">
        <v>27</v>
      </c>
      <c r="E1098" s="22" t="s">
        <v>23</v>
      </c>
      <c r="F1098" s="20" t="s">
        <v>27</v>
      </c>
      <c r="G1098" s="20" t="s">
        <v>27</v>
      </c>
    </row>
    <row r="1099" ht="22" customHeight="1" spans="1:7" x14ac:dyDescent="0.25">
      <c r="A1099" s="16" t="s">
        <v>36</v>
      </c>
      <c r="B1099" s="17" t="s">
        <v>32</v>
      </c>
      <c r="C1099" s="17" t="s">
        <v>530</v>
      </c>
      <c r="D1099" s="17" t="s">
        <v>34</v>
      </c>
      <c r="E1099" s="18">
        <v>34.6</v>
      </c>
      <c r="F1099" s="19" t="s">
        <v>22</v>
      </c>
      <c r="G1099" s="16" t="s">
        <v>23</v>
      </c>
    </row>
    <row r="1100" ht="24" customHeight="1" spans="1:7" x14ac:dyDescent="0.25">
      <c r="A1100" s="23" t="s">
        <v>38</v>
      </c>
      <c r="B1100" s="23" t="s">
        <v>39</v>
      </c>
      <c r="C1100" s="24" t="s">
        <v>40</v>
      </c>
      <c r="D1100" s="24" t="s">
        <v>41</v>
      </c>
      <c r="E1100" s="25">
        <f>SUM(E1093,E1095,E1097,E1099)</f>
        <v>115.3</v>
      </c>
      <c r="F1100" s="23" t="str">
        <f>ROUND(E1100/60, 1) &amp; " Saat"</f>
        <v>1.9 Saat</v>
      </c>
      <c r="G1100" s="23" t="str">
        <f>COUNTIF(G1093:G1099, "X") &amp; "/4"</f>
        <v>0/4</v>
      </c>
    </row>
    <row r="1101" ht="22" customHeight="1" spans="1:7" x14ac:dyDescent="0.25">
      <c r="A1101" s="15" t="s">
        <v>42</v>
      </c>
      <c r="B1101" s="15"/>
      <c r="C1101" s="15"/>
      <c r="D1101" s="15"/>
      <c r="E1101" s="15"/>
      <c r="F1101" s="15"/>
      <c r="G1101" s="15"/>
    </row>
    <row r="1102" ht="22" customHeight="1" spans="1:7" x14ac:dyDescent="0.25">
      <c r="A1102" s="16" t="s">
        <v>18</v>
      </c>
      <c r="B1102" s="17" t="s">
        <v>43</v>
      </c>
      <c r="C1102" s="17" t="s">
        <v>531</v>
      </c>
      <c r="D1102" s="17" t="s">
        <v>45</v>
      </c>
      <c r="E1102" s="18">
        <v>69.7</v>
      </c>
      <c r="F1102" s="19" t="s">
        <v>22</v>
      </c>
      <c r="G1102" s="16" t="s">
        <v>23</v>
      </c>
    </row>
    <row r="1103" ht="20" customHeight="1" spans="1:7" x14ac:dyDescent="0.25">
      <c r="A1103" s="20" t="s">
        <v>24</v>
      </c>
      <c r="B1103" s="21" t="s">
        <v>25</v>
      </c>
      <c r="C1103" s="21" t="s">
        <v>26</v>
      </c>
      <c r="D1103" s="21" t="s">
        <v>27</v>
      </c>
      <c r="E1103" s="22" t="s">
        <v>23</v>
      </c>
      <c r="F1103" s="20" t="s">
        <v>27</v>
      </c>
      <c r="G1103" s="20" t="s">
        <v>27</v>
      </c>
    </row>
    <row r="1104" ht="22" customHeight="1" spans="1:7" x14ac:dyDescent="0.25">
      <c r="A1104" s="16" t="s">
        <v>28</v>
      </c>
      <c r="B1104" s="17" t="s">
        <v>43</v>
      </c>
      <c r="C1104" s="17" t="s">
        <v>532</v>
      </c>
      <c r="D1104" s="17" t="s">
        <v>45</v>
      </c>
      <c r="E1104" s="18">
        <v>58</v>
      </c>
      <c r="F1104" s="19" t="s">
        <v>22</v>
      </c>
      <c r="G1104" s="16" t="s">
        <v>23</v>
      </c>
    </row>
    <row r="1105" ht="20" customHeight="1" spans="1:7" x14ac:dyDescent="0.25">
      <c r="A1105" s="20" t="s">
        <v>30</v>
      </c>
      <c r="B1105" s="21" t="s">
        <v>25</v>
      </c>
      <c r="C1105" s="21" t="s">
        <v>26</v>
      </c>
      <c r="D1105" s="21" t="s">
        <v>27</v>
      </c>
      <c r="E1105" s="22" t="s">
        <v>23</v>
      </c>
      <c r="F1105" s="20" t="s">
        <v>27</v>
      </c>
      <c r="G1105" s="20" t="s">
        <v>27</v>
      </c>
    </row>
    <row r="1106" ht="22" customHeight="1" spans="1:7" x14ac:dyDescent="0.25">
      <c r="A1106" s="16" t="s">
        <v>31</v>
      </c>
      <c r="B1106" s="17" t="s">
        <v>47</v>
      </c>
      <c r="C1106" s="17" t="s">
        <v>533</v>
      </c>
      <c r="D1106" s="17" t="s">
        <v>49</v>
      </c>
      <c r="E1106" s="18">
        <v>38</v>
      </c>
      <c r="F1106" s="19" t="s">
        <v>22</v>
      </c>
      <c r="G1106" s="16" t="s">
        <v>23</v>
      </c>
    </row>
    <row r="1107" ht="20" customHeight="1" spans="1:7" x14ac:dyDescent="0.25">
      <c r="A1107" s="20" t="s">
        <v>35</v>
      </c>
      <c r="B1107" s="21" t="s">
        <v>25</v>
      </c>
      <c r="C1107" s="21" t="s">
        <v>26</v>
      </c>
      <c r="D1107" s="21" t="s">
        <v>27</v>
      </c>
      <c r="E1107" s="22" t="s">
        <v>23</v>
      </c>
      <c r="F1107" s="20" t="s">
        <v>27</v>
      </c>
      <c r="G1107" s="20" t="s">
        <v>27</v>
      </c>
    </row>
    <row r="1108" ht="22" customHeight="1" spans="1:7" x14ac:dyDescent="0.25">
      <c r="A1108" s="16" t="s">
        <v>36</v>
      </c>
      <c r="B1108" s="17" t="s">
        <v>47</v>
      </c>
      <c r="C1108" s="17" t="s">
        <v>534</v>
      </c>
      <c r="D1108" s="17" t="s">
        <v>49</v>
      </c>
      <c r="E1108" s="18">
        <v>55.7</v>
      </c>
      <c r="F1108" s="19" t="s">
        <v>22</v>
      </c>
      <c r="G1108" s="16" t="s">
        <v>23</v>
      </c>
    </row>
    <row r="1109" ht="24" customHeight="1" spans="1:7" x14ac:dyDescent="0.25">
      <c r="A1109" s="23" t="s">
        <v>38</v>
      </c>
      <c r="B1109" s="23" t="s">
        <v>39</v>
      </c>
      <c r="C1109" s="24" t="s">
        <v>40</v>
      </c>
      <c r="D1109" s="24" t="s">
        <v>41</v>
      </c>
      <c r="E1109" s="25">
        <f>SUM(E1102,E1104,E1106,E1108)</f>
        <v>221.4</v>
      </c>
      <c r="F1109" s="23" t="str">
        <f>ROUND(E1109/60, 1) &amp; " Saat"</f>
        <v>3.7 Saat</v>
      </c>
      <c r="G1109" s="23" t="str">
        <f>COUNTIF(G1102:G1108, "X") &amp; "/4"</f>
        <v>0/4</v>
      </c>
    </row>
    <row r="1110" ht="22" customHeight="1" spans="1:7" x14ac:dyDescent="0.25">
      <c r="A1110" s="15" t="s">
        <v>51</v>
      </c>
      <c r="B1110" s="15"/>
      <c r="C1110" s="15"/>
      <c r="D1110" s="15"/>
      <c r="E1110" s="15"/>
      <c r="F1110" s="15"/>
      <c r="G1110" s="15"/>
    </row>
    <row r="1111" ht="22" customHeight="1" spans="1:7" x14ac:dyDescent="0.25">
      <c r="A1111" s="16" t="s">
        <v>18</v>
      </c>
      <c r="B1111" s="17" t="s">
        <v>52</v>
      </c>
      <c r="C1111" s="17" t="s">
        <v>535</v>
      </c>
      <c r="D1111" s="17" t="s">
        <v>54</v>
      </c>
      <c r="E1111" s="18">
        <v>29.2</v>
      </c>
      <c r="F1111" s="19" t="s">
        <v>22</v>
      </c>
      <c r="G1111" s="16" t="s">
        <v>23</v>
      </c>
    </row>
    <row r="1112" ht="20" customHeight="1" spans="1:7" x14ac:dyDescent="0.25">
      <c r="A1112" s="20" t="s">
        <v>24</v>
      </c>
      <c r="B1112" s="21" t="s">
        <v>25</v>
      </c>
      <c r="C1112" s="21" t="s">
        <v>26</v>
      </c>
      <c r="D1112" s="21" t="s">
        <v>27</v>
      </c>
      <c r="E1112" s="22" t="s">
        <v>23</v>
      </c>
      <c r="F1112" s="20" t="s">
        <v>27</v>
      </c>
      <c r="G1112" s="20" t="s">
        <v>27</v>
      </c>
    </row>
    <row r="1113" ht="22" customHeight="1" spans="1:7" x14ac:dyDescent="0.25">
      <c r="A1113" s="16" t="s">
        <v>28</v>
      </c>
      <c r="B1113" s="17" t="s">
        <v>52</v>
      </c>
      <c r="C1113" s="17" t="s">
        <v>536</v>
      </c>
      <c r="D1113" s="17" t="s">
        <v>54</v>
      </c>
      <c r="E1113" s="18">
        <v>14.7</v>
      </c>
      <c r="F1113" s="19" t="s">
        <v>22</v>
      </c>
      <c r="G1113" s="16" t="s">
        <v>23</v>
      </c>
    </row>
    <row r="1114" ht="20" customHeight="1" spans="1:7" x14ac:dyDescent="0.25">
      <c r="A1114" s="20" t="s">
        <v>30</v>
      </c>
      <c r="B1114" s="21" t="s">
        <v>25</v>
      </c>
      <c r="C1114" s="21" t="s">
        <v>26</v>
      </c>
      <c r="D1114" s="21" t="s">
        <v>27</v>
      </c>
      <c r="E1114" s="22" t="s">
        <v>23</v>
      </c>
      <c r="F1114" s="20" t="s">
        <v>27</v>
      </c>
      <c r="G1114" s="20" t="s">
        <v>27</v>
      </c>
    </row>
    <row r="1115" ht="22" customHeight="1" spans="1:7" x14ac:dyDescent="0.25">
      <c r="A1115" s="16" t="s">
        <v>31</v>
      </c>
      <c r="B1115" s="17" t="s">
        <v>56</v>
      </c>
      <c r="C1115" s="17" t="s">
        <v>467</v>
      </c>
      <c r="D1115" s="17" t="s">
        <v>23</v>
      </c>
      <c r="E1115" s="18">
        <v>40</v>
      </c>
      <c r="F1115" s="16" t="s">
        <v>27</v>
      </c>
      <c r="G1115" s="16" t="s">
        <v>23</v>
      </c>
    </row>
    <row r="1116" ht="20" customHeight="1" spans="1:7" x14ac:dyDescent="0.25">
      <c r="A1116" s="20" t="s">
        <v>35</v>
      </c>
      <c r="B1116" s="21" t="s">
        <v>25</v>
      </c>
      <c r="C1116" s="21" t="s">
        <v>26</v>
      </c>
      <c r="D1116" s="21" t="s">
        <v>27</v>
      </c>
      <c r="E1116" s="22" t="s">
        <v>23</v>
      </c>
      <c r="F1116" s="20" t="s">
        <v>27</v>
      </c>
      <c r="G1116" s="20" t="s">
        <v>27</v>
      </c>
    </row>
    <row r="1117" ht="22" customHeight="1" spans="1:7" x14ac:dyDescent="0.25">
      <c r="A1117" s="16" t="s">
        <v>36</v>
      </c>
      <c r="B1117" s="17" t="s">
        <v>56</v>
      </c>
      <c r="C1117" s="17" t="s">
        <v>467</v>
      </c>
      <c r="D1117" s="17" t="s">
        <v>23</v>
      </c>
      <c r="E1117" s="18">
        <v>40</v>
      </c>
      <c r="F1117" s="16" t="s">
        <v>27</v>
      </c>
      <c r="G1117" s="16" t="s">
        <v>23</v>
      </c>
    </row>
    <row r="1118" ht="24" customHeight="1" spans="1:7" x14ac:dyDescent="0.25">
      <c r="A1118" s="23" t="s">
        <v>38</v>
      </c>
      <c r="B1118" s="23" t="s">
        <v>39</v>
      </c>
      <c r="C1118" s="24" t="s">
        <v>40</v>
      </c>
      <c r="D1118" s="24" t="s">
        <v>41</v>
      </c>
      <c r="E1118" s="25">
        <f>SUM(E1111,E1113,E1115,E1117)</f>
        <v>123.9</v>
      </c>
      <c r="F1118" s="23" t="str">
        <f>ROUND(E1118/60, 1) &amp; " Saat"</f>
        <v>2.1 Saat</v>
      </c>
      <c r="G1118" s="23" t="str">
        <f>COUNTIF(G1111:G1117, "X") &amp; "/4"</f>
        <v>0/4</v>
      </c>
    </row>
    <row r="1119" ht="22" customHeight="1" spans="1:7" x14ac:dyDescent="0.25">
      <c r="A1119" s="15" t="s">
        <v>60</v>
      </c>
      <c r="B1119" s="15"/>
      <c r="C1119" s="15"/>
      <c r="D1119" s="15"/>
      <c r="E1119" s="15"/>
      <c r="F1119" s="15"/>
      <c r="G1119" s="15"/>
    </row>
    <row r="1120" ht="22" customHeight="1" spans="1:7" x14ac:dyDescent="0.25">
      <c r="A1120" s="16" t="s">
        <v>18</v>
      </c>
      <c r="B1120" s="17" t="s">
        <v>43</v>
      </c>
      <c r="C1120" s="17" t="s">
        <v>537</v>
      </c>
      <c r="D1120" s="17" t="s">
        <v>45</v>
      </c>
      <c r="E1120" s="18">
        <v>45.4</v>
      </c>
      <c r="F1120" s="19" t="s">
        <v>22</v>
      </c>
      <c r="G1120" s="16" t="s">
        <v>23</v>
      </c>
    </row>
    <row r="1121" ht="20" customHeight="1" spans="1:7" x14ac:dyDescent="0.25">
      <c r="A1121" s="20" t="s">
        <v>24</v>
      </c>
      <c r="B1121" s="21" t="s">
        <v>25</v>
      </c>
      <c r="C1121" s="21" t="s">
        <v>26</v>
      </c>
      <c r="D1121" s="21" t="s">
        <v>27</v>
      </c>
      <c r="E1121" s="22" t="s">
        <v>23</v>
      </c>
      <c r="F1121" s="20" t="s">
        <v>27</v>
      </c>
      <c r="G1121" s="20" t="s">
        <v>27</v>
      </c>
    </row>
    <row r="1122" ht="22" customHeight="1" spans="1:7" x14ac:dyDescent="0.25">
      <c r="A1122" s="16" t="s">
        <v>28</v>
      </c>
      <c r="B1122" s="17" t="s">
        <v>43</v>
      </c>
      <c r="C1122" s="17" t="s">
        <v>538</v>
      </c>
      <c r="D1122" s="17" t="s">
        <v>45</v>
      </c>
      <c r="E1122" s="18">
        <v>32.7</v>
      </c>
      <c r="F1122" s="19" t="s">
        <v>22</v>
      </c>
      <c r="G1122" s="16" t="s">
        <v>23</v>
      </c>
    </row>
    <row r="1123" ht="20" customHeight="1" spans="1:7" x14ac:dyDescent="0.25">
      <c r="A1123" s="20" t="s">
        <v>30</v>
      </c>
      <c r="B1123" s="21" t="s">
        <v>25</v>
      </c>
      <c r="C1123" s="21" t="s">
        <v>26</v>
      </c>
      <c r="D1123" s="21" t="s">
        <v>27</v>
      </c>
      <c r="E1123" s="22" t="s">
        <v>23</v>
      </c>
      <c r="F1123" s="20" t="s">
        <v>27</v>
      </c>
      <c r="G1123" s="20" t="s">
        <v>27</v>
      </c>
    </row>
    <row r="1124" ht="22" customHeight="1" spans="1:7" x14ac:dyDescent="0.25">
      <c r="A1124" s="16" t="s">
        <v>31</v>
      </c>
      <c r="B1124" s="17" t="s">
        <v>63</v>
      </c>
      <c r="C1124" s="17" t="s">
        <v>539</v>
      </c>
      <c r="D1124" s="17" t="s">
        <v>65</v>
      </c>
      <c r="E1124" s="18">
        <v>36.8</v>
      </c>
      <c r="F1124" s="19" t="s">
        <v>22</v>
      </c>
      <c r="G1124" s="16" t="s">
        <v>23</v>
      </c>
    </row>
    <row r="1125" ht="20" customHeight="1" spans="1:7" x14ac:dyDescent="0.25">
      <c r="A1125" s="20" t="s">
        <v>35</v>
      </c>
      <c r="B1125" s="21" t="s">
        <v>25</v>
      </c>
      <c r="C1125" s="21" t="s">
        <v>26</v>
      </c>
      <c r="D1125" s="21" t="s">
        <v>27</v>
      </c>
      <c r="E1125" s="22" t="s">
        <v>23</v>
      </c>
      <c r="F1125" s="20" t="s">
        <v>27</v>
      </c>
      <c r="G1125" s="20" t="s">
        <v>27</v>
      </c>
    </row>
    <row r="1126" ht="22" customHeight="1" spans="1:7" x14ac:dyDescent="0.25">
      <c r="A1126" s="16" t="s">
        <v>36</v>
      </c>
      <c r="B1126" s="17" t="s">
        <v>63</v>
      </c>
      <c r="C1126" s="17" t="s">
        <v>540</v>
      </c>
      <c r="D1126" s="17" t="s">
        <v>65</v>
      </c>
      <c r="E1126" s="18">
        <v>22.4</v>
      </c>
      <c r="F1126" s="19" t="s">
        <v>22</v>
      </c>
      <c r="G1126" s="16" t="s">
        <v>23</v>
      </c>
    </row>
    <row r="1127" ht="24" customHeight="1" spans="1:7" x14ac:dyDescent="0.25">
      <c r="A1127" s="23" t="s">
        <v>38</v>
      </c>
      <c r="B1127" s="23" t="s">
        <v>39</v>
      </c>
      <c r="C1127" s="24" t="s">
        <v>40</v>
      </c>
      <c r="D1127" s="24" t="s">
        <v>41</v>
      </c>
      <c r="E1127" s="25">
        <f>SUM(E1120,E1122,E1124,E1126)</f>
        <v>137.3</v>
      </c>
      <c r="F1127" s="23" t="str">
        <f>ROUND(E1127/60, 1) &amp; " Saat"</f>
        <v>2.3 Saat</v>
      </c>
      <c r="G1127" s="23" t="str">
        <f>COUNTIF(G1120:G1126, "X") &amp; "/4"</f>
        <v>0/4</v>
      </c>
    </row>
    <row r="1128" ht="22" customHeight="1" spans="1:7" x14ac:dyDescent="0.25">
      <c r="A1128" s="15" t="s">
        <v>67</v>
      </c>
      <c r="B1128" s="15"/>
      <c r="C1128" s="15"/>
      <c r="D1128" s="15"/>
      <c r="E1128" s="15"/>
      <c r="F1128" s="15"/>
      <c r="G1128" s="15"/>
    </row>
    <row r="1129" ht="22" customHeight="1" spans="1:7" x14ac:dyDescent="0.25">
      <c r="A1129" s="16" t="s">
        <v>18</v>
      </c>
      <c r="B1129" s="17" t="s">
        <v>68</v>
      </c>
      <c r="C1129" s="17" t="s">
        <v>541</v>
      </c>
      <c r="D1129" s="17" t="s">
        <v>70</v>
      </c>
      <c r="E1129" s="18">
        <v>44.3</v>
      </c>
      <c r="F1129" s="19" t="s">
        <v>22</v>
      </c>
      <c r="G1129" s="16" t="s">
        <v>23</v>
      </c>
    </row>
    <row r="1130" ht="20" customHeight="1" spans="1:7" x14ac:dyDescent="0.25">
      <c r="A1130" s="20" t="s">
        <v>24</v>
      </c>
      <c r="B1130" s="21" t="s">
        <v>25</v>
      </c>
      <c r="C1130" s="21" t="s">
        <v>26</v>
      </c>
      <c r="D1130" s="21" t="s">
        <v>27</v>
      </c>
      <c r="E1130" s="22" t="s">
        <v>23</v>
      </c>
      <c r="F1130" s="20" t="s">
        <v>27</v>
      </c>
      <c r="G1130" s="20" t="s">
        <v>27</v>
      </c>
    </row>
    <row r="1131" ht="22" customHeight="1" spans="1:7" x14ac:dyDescent="0.25">
      <c r="A1131" s="16" t="s">
        <v>28</v>
      </c>
      <c r="B1131" s="17" t="s">
        <v>68</v>
      </c>
      <c r="C1131" s="17" t="s">
        <v>542</v>
      </c>
      <c r="D1131" s="17" t="s">
        <v>70</v>
      </c>
      <c r="E1131" s="18">
        <v>17.2</v>
      </c>
      <c r="F1131" s="19" t="s">
        <v>22</v>
      </c>
      <c r="G1131" s="16" t="s">
        <v>23</v>
      </c>
    </row>
    <row r="1132" ht="20" customHeight="1" spans="1:7" x14ac:dyDescent="0.25">
      <c r="A1132" s="20" t="s">
        <v>30</v>
      </c>
      <c r="B1132" s="21" t="s">
        <v>25</v>
      </c>
      <c r="C1132" s="21" t="s">
        <v>26</v>
      </c>
      <c r="D1132" s="21" t="s">
        <v>27</v>
      </c>
      <c r="E1132" s="22" t="s">
        <v>23</v>
      </c>
      <c r="F1132" s="20" t="s">
        <v>27</v>
      </c>
      <c r="G1132" s="20" t="s">
        <v>27</v>
      </c>
    </row>
    <row r="1133" ht="22" customHeight="1" spans="1:7" x14ac:dyDescent="0.25">
      <c r="A1133" s="16" t="s">
        <v>31</v>
      </c>
      <c r="B1133" s="17" t="s">
        <v>449</v>
      </c>
      <c r="C1133" s="17" t="s">
        <v>543</v>
      </c>
      <c r="D1133" s="17" t="s">
        <v>34</v>
      </c>
      <c r="E1133" s="18">
        <v>18.6</v>
      </c>
      <c r="F1133" s="19" t="s">
        <v>22</v>
      </c>
      <c r="G1133" s="16" t="s">
        <v>23</v>
      </c>
    </row>
    <row r="1134" ht="20" customHeight="1" spans="1:7" x14ac:dyDescent="0.25">
      <c r="A1134" s="20" t="s">
        <v>35</v>
      </c>
      <c r="B1134" s="21" t="s">
        <v>25</v>
      </c>
      <c r="C1134" s="21" t="s">
        <v>26</v>
      </c>
      <c r="D1134" s="21" t="s">
        <v>27</v>
      </c>
      <c r="E1134" s="22" t="s">
        <v>23</v>
      </c>
      <c r="F1134" s="20" t="s">
        <v>27</v>
      </c>
      <c r="G1134" s="20" t="s">
        <v>27</v>
      </c>
    </row>
    <row r="1135" ht="22" customHeight="1" spans="1:7" x14ac:dyDescent="0.25">
      <c r="A1135" s="16" t="s">
        <v>36</v>
      </c>
      <c r="B1135" s="17" t="s">
        <v>449</v>
      </c>
      <c r="C1135" s="17" t="s">
        <v>544</v>
      </c>
      <c r="D1135" s="17" t="s">
        <v>34</v>
      </c>
      <c r="E1135" s="18">
        <v>36.2</v>
      </c>
      <c r="F1135" s="19" t="s">
        <v>22</v>
      </c>
      <c r="G1135" s="16" t="s">
        <v>23</v>
      </c>
    </row>
    <row r="1136" ht="24" customHeight="1" spans="1:7" x14ac:dyDescent="0.25">
      <c r="A1136" s="23" t="s">
        <v>38</v>
      </c>
      <c r="B1136" s="23" t="s">
        <v>39</v>
      </c>
      <c r="C1136" s="24" t="s">
        <v>40</v>
      </c>
      <c r="D1136" s="24" t="s">
        <v>41</v>
      </c>
      <c r="E1136" s="25">
        <f>SUM(E1129,E1131,E1133,E1135)</f>
        <v>116.3</v>
      </c>
      <c r="F1136" s="23" t="str">
        <f>ROUND(E1136/60, 1) &amp; " Saat"</f>
        <v>1.9 Saat</v>
      </c>
      <c r="G1136" s="23" t="str">
        <f>COUNTIF(G1129:G1135, "X") &amp; "/4"</f>
        <v>0/4</v>
      </c>
    </row>
    <row r="1137" ht="22" customHeight="1" spans="1:7" x14ac:dyDescent="0.25">
      <c r="A1137" s="15" t="s">
        <v>74</v>
      </c>
      <c r="B1137" s="15"/>
      <c r="C1137" s="15"/>
      <c r="D1137" s="15"/>
      <c r="E1137" s="15"/>
      <c r="F1137" s="15"/>
      <c r="G1137" s="15"/>
    </row>
    <row r="1138" ht="22" customHeight="1" spans="1:7" x14ac:dyDescent="0.25">
      <c r="A1138" s="16" t="s">
        <v>18</v>
      </c>
      <c r="B1138" s="17" t="s">
        <v>47</v>
      </c>
      <c r="C1138" s="17" t="s">
        <v>545</v>
      </c>
      <c r="D1138" s="17" t="s">
        <v>49</v>
      </c>
      <c r="E1138" s="18">
        <v>30.9</v>
      </c>
      <c r="F1138" s="19" t="s">
        <v>22</v>
      </c>
      <c r="G1138" s="16" t="s">
        <v>23</v>
      </c>
    </row>
    <row r="1139" ht="20" customHeight="1" spans="1:7" x14ac:dyDescent="0.25">
      <c r="A1139" s="20" t="s">
        <v>24</v>
      </c>
      <c r="B1139" s="21" t="s">
        <v>25</v>
      </c>
      <c r="C1139" s="21" t="s">
        <v>26</v>
      </c>
      <c r="D1139" s="21" t="s">
        <v>27</v>
      </c>
      <c r="E1139" s="22" t="s">
        <v>23</v>
      </c>
      <c r="F1139" s="20" t="s">
        <v>27</v>
      </c>
      <c r="G1139" s="20" t="s">
        <v>27</v>
      </c>
    </row>
    <row r="1140" ht="22" customHeight="1" spans="1:7" x14ac:dyDescent="0.25">
      <c r="A1140" s="16" t="s">
        <v>28</v>
      </c>
      <c r="B1140" s="17" t="s">
        <v>47</v>
      </c>
      <c r="C1140" s="17" t="s">
        <v>546</v>
      </c>
      <c r="D1140" s="17" t="s">
        <v>49</v>
      </c>
      <c r="E1140" s="18">
        <v>35</v>
      </c>
      <c r="F1140" s="19" t="s">
        <v>22</v>
      </c>
      <c r="G1140" s="16" t="s">
        <v>23</v>
      </c>
    </row>
    <row r="1141" ht="20" customHeight="1" spans="1:7" x14ac:dyDescent="0.25">
      <c r="A1141" s="20" t="s">
        <v>30</v>
      </c>
      <c r="B1141" s="21" t="s">
        <v>25</v>
      </c>
      <c r="C1141" s="21" t="s">
        <v>26</v>
      </c>
      <c r="D1141" s="21" t="s">
        <v>27</v>
      </c>
      <c r="E1141" s="22" t="s">
        <v>23</v>
      </c>
      <c r="F1141" s="20" t="s">
        <v>27</v>
      </c>
      <c r="G1141" s="20" t="s">
        <v>27</v>
      </c>
    </row>
    <row r="1142" ht="22" customHeight="1" spans="1:7" x14ac:dyDescent="0.25">
      <c r="A1142" s="16" t="s">
        <v>31</v>
      </c>
      <c r="B1142" s="17" t="s">
        <v>52</v>
      </c>
      <c r="C1142" s="17" t="s">
        <v>547</v>
      </c>
      <c r="D1142" s="17" t="s">
        <v>54</v>
      </c>
      <c r="E1142" s="18">
        <v>153</v>
      </c>
      <c r="F1142" s="19" t="s">
        <v>22</v>
      </c>
      <c r="G1142" s="16" t="s">
        <v>23</v>
      </c>
    </row>
    <row r="1143" ht="20" customHeight="1" spans="1:7" x14ac:dyDescent="0.25">
      <c r="A1143" s="20" t="s">
        <v>35</v>
      </c>
      <c r="B1143" s="21" t="s">
        <v>25</v>
      </c>
      <c r="C1143" s="21" t="s">
        <v>26</v>
      </c>
      <c r="D1143" s="21" t="s">
        <v>27</v>
      </c>
      <c r="E1143" s="22" t="s">
        <v>23</v>
      </c>
      <c r="F1143" s="20" t="s">
        <v>27</v>
      </c>
      <c r="G1143" s="20" t="s">
        <v>27</v>
      </c>
    </row>
    <row r="1144" ht="22" customHeight="1" spans="1:7" x14ac:dyDescent="0.25">
      <c r="A1144" s="16" t="s">
        <v>36</v>
      </c>
      <c r="B1144" s="17" t="s">
        <v>52</v>
      </c>
      <c r="C1144" s="17" t="s">
        <v>548</v>
      </c>
      <c r="D1144" s="17" t="s">
        <v>54</v>
      </c>
      <c r="E1144" s="18">
        <v>134.3</v>
      </c>
      <c r="F1144" s="19" t="s">
        <v>22</v>
      </c>
      <c r="G1144" s="16" t="s">
        <v>23</v>
      </c>
    </row>
    <row r="1145" ht="24" customHeight="1" spans="1:7" x14ac:dyDescent="0.25">
      <c r="A1145" s="23" t="s">
        <v>38</v>
      </c>
      <c r="B1145" s="23" t="s">
        <v>39</v>
      </c>
      <c r="C1145" s="24" t="s">
        <v>40</v>
      </c>
      <c r="D1145" s="24" t="s">
        <v>41</v>
      </c>
      <c r="E1145" s="25">
        <f>SUM(E1138,E1140,E1142,E1144)</f>
        <v>353.2</v>
      </c>
      <c r="F1145" s="23" t="str">
        <f>ROUND(E1145/60, 1) &amp; " Saat"</f>
        <v>5.9 Saat</v>
      </c>
      <c r="G1145" s="23" t="str">
        <f>COUNTIF(G1138:G1144, "X") &amp; "/4"</f>
        <v>0/4</v>
      </c>
    </row>
    <row r="1146" ht="28" customHeight="1" spans="1:7" x14ac:dyDescent="0.25">
      <c r="A1146" s="26" t="s">
        <v>79</v>
      </c>
      <c r="B1146" s="26"/>
      <c r="C1146" s="26"/>
      <c r="D1146" s="26"/>
      <c r="E1146" s="26"/>
      <c r="F1146" s="26"/>
      <c r="G1146" s="26"/>
    </row>
    <row r="1147" ht="8" customHeight="1" x14ac:dyDescent="0.25"/>
    <row r="1148" ht="25" customHeight="1" spans="1:7" x14ac:dyDescent="0.25">
      <c r="A1148" s="14" t="s">
        <v>549</v>
      </c>
      <c r="B1148" s="14"/>
      <c r="C1148" s="14"/>
      <c r="D1148" s="14"/>
      <c r="E1148" s="14"/>
      <c r="F1148" s="14"/>
      <c r="G1148" s="14"/>
    </row>
    <row r="1149" ht="22" customHeight="1" spans="1:7" x14ac:dyDescent="0.25">
      <c r="A1149" s="15" t="s">
        <v>17</v>
      </c>
      <c r="B1149" s="15"/>
      <c r="C1149" s="15"/>
      <c r="D1149" s="15"/>
      <c r="E1149" s="15"/>
      <c r="F1149" s="15"/>
      <c r="G1149" s="15"/>
    </row>
    <row r="1150" ht="22" customHeight="1" spans="1:7" x14ac:dyDescent="0.25">
      <c r="A1150" s="16" t="s">
        <v>18</v>
      </c>
      <c r="B1150" s="17" t="s">
        <v>19</v>
      </c>
      <c r="C1150" s="17" t="s">
        <v>550</v>
      </c>
      <c r="D1150" s="17" t="s">
        <v>21</v>
      </c>
      <c r="E1150" s="18">
        <v>10.7</v>
      </c>
      <c r="F1150" s="19" t="s">
        <v>22</v>
      </c>
      <c r="G1150" s="16" t="s">
        <v>23</v>
      </c>
    </row>
    <row r="1151" ht="20" customHeight="1" spans="1:7" x14ac:dyDescent="0.25">
      <c r="A1151" s="20" t="s">
        <v>24</v>
      </c>
      <c r="B1151" s="21" t="s">
        <v>25</v>
      </c>
      <c r="C1151" s="21" t="s">
        <v>26</v>
      </c>
      <c r="D1151" s="21" t="s">
        <v>27</v>
      </c>
      <c r="E1151" s="22" t="s">
        <v>23</v>
      </c>
      <c r="F1151" s="20" t="s">
        <v>27</v>
      </c>
      <c r="G1151" s="20" t="s">
        <v>27</v>
      </c>
    </row>
    <row r="1152" ht="22" customHeight="1" spans="1:7" x14ac:dyDescent="0.25">
      <c r="A1152" s="16" t="s">
        <v>28</v>
      </c>
      <c r="B1152" s="17" t="s">
        <v>19</v>
      </c>
      <c r="C1152" s="17" t="s">
        <v>551</v>
      </c>
      <c r="D1152" s="17" t="s">
        <v>21</v>
      </c>
      <c r="E1152" s="18">
        <v>7</v>
      </c>
      <c r="F1152" s="19" t="s">
        <v>22</v>
      </c>
      <c r="G1152" s="16" t="s">
        <v>23</v>
      </c>
    </row>
    <row r="1153" ht="20" customHeight="1" spans="1:7" x14ac:dyDescent="0.25">
      <c r="A1153" s="20" t="s">
        <v>30</v>
      </c>
      <c r="B1153" s="21" t="s">
        <v>25</v>
      </c>
      <c r="C1153" s="21" t="s">
        <v>26</v>
      </c>
      <c r="D1153" s="21" t="s">
        <v>27</v>
      </c>
      <c r="E1153" s="22" t="s">
        <v>23</v>
      </c>
      <c r="F1153" s="20" t="s">
        <v>27</v>
      </c>
      <c r="G1153" s="20" t="s">
        <v>27</v>
      </c>
    </row>
    <row r="1154" ht="22" customHeight="1" spans="1:7" x14ac:dyDescent="0.25">
      <c r="A1154" s="16" t="s">
        <v>31</v>
      </c>
      <c r="B1154" s="17" t="s">
        <v>32</v>
      </c>
      <c r="C1154" s="17" t="s">
        <v>552</v>
      </c>
      <c r="D1154" s="17" t="s">
        <v>34</v>
      </c>
      <c r="E1154" s="18">
        <v>39.5</v>
      </c>
      <c r="F1154" s="19" t="s">
        <v>22</v>
      </c>
      <c r="G1154" s="16" t="s">
        <v>23</v>
      </c>
    </row>
    <row r="1155" ht="20" customHeight="1" spans="1:7" x14ac:dyDescent="0.25">
      <c r="A1155" s="20" t="s">
        <v>35</v>
      </c>
      <c r="B1155" s="21" t="s">
        <v>25</v>
      </c>
      <c r="C1155" s="21" t="s">
        <v>26</v>
      </c>
      <c r="D1155" s="21" t="s">
        <v>27</v>
      </c>
      <c r="E1155" s="22" t="s">
        <v>23</v>
      </c>
      <c r="F1155" s="20" t="s">
        <v>27</v>
      </c>
      <c r="G1155" s="20" t="s">
        <v>27</v>
      </c>
    </row>
    <row r="1156" ht="22" customHeight="1" spans="1:7" x14ac:dyDescent="0.25">
      <c r="A1156" s="16" t="s">
        <v>36</v>
      </c>
      <c r="B1156" s="17" t="s">
        <v>32</v>
      </c>
      <c r="C1156" s="17" t="s">
        <v>553</v>
      </c>
      <c r="D1156" s="17" t="s">
        <v>34</v>
      </c>
      <c r="E1156" s="18">
        <v>37.2</v>
      </c>
      <c r="F1156" s="19" t="s">
        <v>22</v>
      </c>
      <c r="G1156" s="16" t="s">
        <v>23</v>
      </c>
    </row>
    <row r="1157" ht="24" customHeight="1" spans="1:7" x14ac:dyDescent="0.25">
      <c r="A1157" s="23" t="s">
        <v>38</v>
      </c>
      <c r="B1157" s="23" t="s">
        <v>39</v>
      </c>
      <c r="C1157" s="24" t="s">
        <v>40</v>
      </c>
      <c r="D1157" s="24" t="s">
        <v>41</v>
      </c>
      <c r="E1157" s="25">
        <f>SUM(E1150,E1152,E1154,E1156)</f>
        <v>94.4</v>
      </c>
      <c r="F1157" s="23" t="str">
        <f>ROUND(E1157/60, 1) &amp; " Saat"</f>
        <v>1.6 Saat</v>
      </c>
      <c r="G1157" s="23" t="str">
        <f>COUNTIF(G1150:G1156, "X") &amp; "/4"</f>
        <v>0/4</v>
      </c>
    </row>
    <row r="1158" ht="22" customHeight="1" spans="1:7" x14ac:dyDescent="0.25">
      <c r="A1158" s="15" t="s">
        <v>42</v>
      </c>
      <c r="B1158" s="15"/>
      <c r="C1158" s="15"/>
      <c r="D1158" s="15"/>
      <c r="E1158" s="15"/>
      <c r="F1158" s="15"/>
      <c r="G1158" s="15"/>
    </row>
    <row r="1159" ht="22" customHeight="1" spans="1:7" x14ac:dyDescent="0.25">
      <c r="A1159" s="16" t="s">
        <v>18</v>
      </c>
      <c r="B1159" s="17" t="s">
        <v>43</v>
      </c>
      <c r="C1159" s="17" t="s">
        <v>554</v>
      </c>
      <c r="D1159" s="17" t="s">
        <v>45</v>
      </c>
      <c r="E1159" s="18">
        <v>37.2</v>
      </c>
      <c r="F1159" s="19" t="s">
        <v>22</v>
      </c>
      <c r="G1159" s="16" t="s">
        <v>23</v>
      </c>
    </row>
    <row r="1160" ht="20" customHeight="1" spans="1:7" x14ac:dyDescent="0.25">
      <c r="A1160" s="20" t="s">
        <v>24</v>
      </c>
      <c r="B1160" s="21" t="s">
        <v>25</v>
      </c>
      <c r="C1160" s="21" t="s">
        <v>26</v>
      </c>
      <c r="D1160" s="21" t="s">
        <v>27</v>
      </c>
      <c r="E1160" s="22" t="s">
        <v>23</v>
      </c>
      <c r="F1160" s="20" t="s">
        <v>27</v>
      </c>
      <c r="G1160" s="20" t="s">
        <v>27</v>
      </c>
    </row>
    <row r="1161" ht="22" customHeight="1" spans="1:7" x14ac:dyDescent="0.25">
      <c r="A1161" s="16" t="s">
        <v>28</v>
      </c>
      <c r="B1161" s="17" t="s">
        <v>43</v>
      </c>
      <c r="C1161" s="17" t="s">
        <v>555</v>
      </c>
      <c r="D1161" s="17" t="s">
        <v>45</v>
      </c>
      <c r="E1161" s="18">
        <v>67.8</v>
      </c>
      <c r="F1161" s="19" t="s">
        <v>22</v>
      </c>
      <c r="G1161" s="16" t="s">
        <v>23</v>
      </c>
    </row>
    <row r="1162" ht="20" customHeight="1" spans="1:7" x14ac:dyDescent="0.25">
      <c r="A1162" s="20" t="s">
        <v>30</v>
      </c>
      <c r="B1162" s="21" t="s">
        <v>25</v>
      </c>
      <c r="C1162" s="21" t="s">
        <v>26</v>
      </c>
      <c r="D1162" s="21" t="s">
        <v>27</v>
      </c>
      <c r="E1162" s="22" t="s">
        <v>23</v>
      </c>
      <c r="F1162" s="20" t="s">
        <v>27</v>
      </c>
      <c r="G1162" s="20" t="s">
        <v>27</v>
      </c>
    </row>
    <row r="1163" ht="22" customHeight="1" spans="1:7" x14ac:dyDescent="0.25">
      <c r="A1163" s="16" t="s">
        <v>31</v>
      </c>
      <c r="B1163" s="17" t="s">
        <v>47</v>
      </c>
      <c r="C1163" s="17" t="s">
        <v>556</v>
      </c>
      <c r="D1163" s="17" t="s">
        <v>49</v>
      </c>
      <c r="E1163" s="18">
        <v>32.8</v>
      </c>
      <c r="F1163" s="19" t="s">
        <v>22</v>
      </c>
      <c r="G1163" s="16" t="s">
        <v>23</v>
      </c>
    </row>
    <row r="1164" ht="20" customHeight="1" spans="1:7" x14ac:dyDescent="0.25">
      <c r="A1164" s="20" t="s">
        <v>35</v>
      </c>
      <c r="B1164" s="21" t="s">
        <v>25</v>
      </c>
      <c r="C1164" s="21" t="s">
        <v>26</v>
      </c>
      <c r="D1164" s="21" t="s">
        <v>27</v>
      </c>
      <c r="E1164" s="22" t="s">
        <v>23</v>
      </c>
      <c r="F1164" s="20" t="s">
        <v>27</v>
      </c>
      <c r="G1164" s="20" t="s">
        <v>27</v>
      </c>
    </row>
    <row r="1165" ht="22" customHeight="1" spans="1:7" x14ac:dyDescent="0.25">
      <c r="A1165" s="16" t="s">
        <v>36</v>
      </c>
      <c r="B1165" s="17" t="s">
        <v>47</v>
      </c>
      <c r="C1165" s="17" t="s">
        <v>557</v>
      </c>
      <c r="D1165" s="17" t="s">
        <v>49</v>
      </c>
      <c r="E1165" s="18">
        <v>28.3</v>
      </c>
      <c r="F1165" s="19" t="s">
        <v>22</v>
      </c>
      <c r="G1165" s="16" t="s">
        <v>23</v>
      </c>
    </row>
    <row r="1166" ht="24" customHeight="1" spans="1:7" x14ac:dyDescent="0.25">
      <c r="A1166" s="23" t="s">
        <v>38</v>
      </c>
      <c r="B1166" s="23" t="s">
        <v>39</v>
      </c>
      <c r="C1166" s="24" t="s">
        <v>40</v>
      </c>
      <c r="D1166" s="24" t="s">
        <v>41</v>
      </c>
      <c r="E1166" s="25">
        <f>SUM(E1159,E1161,E1163,E1165)</f>
        <v>166.1</v>
      </c>
      <c r="F1166" s="23" t="str">
        <f>ROUND(E1166/60, 1) &amp; " Saat"</f>
        <v>2.8 Saat</v>
      </c>
      <c r="G1166" s="23" t="str">
        <f>COUNTIF(G1159:G1165, "X") &amp; "/4"</f>
        <v>0/4</v>
      </c>
    </row>
    <row r="1167" ht="22" customHeight="1" spans="1:7" x14ac:dyDescent="0.25">
      <c r="A1167" s="15" t="s">
        <v>51</v>
      </c>
      <c r="B1167" s="15"/>
      <c r="C1167" s="15"/>
      <c r="D1167" s="15"/>
      <c r="E1167" s="15"/>
      <c r="F1167" s="15"/>
      <c r="G1167" s="15"/>
    </row>
    <row r="1168" ht="22" customHeight="1" spans="1:7" x14ac:dyDescent="0.25">
      <c r="A1168" s="16" t="s">
        <v>18</v>
      </c>
      <c r="B1168" s="17" t="s">
        <v>52</v>
      </c>
      <c r="C1168" s="17" t="s">
        <v>467</v>
      </c>
      <c r="D1168" s="17" t="s">
        <v>23</v>
      </c>
      <c r="E1168" s="18">
        <v>40</v>
      </c>
      <c r="F1168" s="16" t="s">
        <v>27</v>
      </c>
      <c r="G1168" s="16" t="s">
        <v>23</v>
      </c>
    </row>
    <row r="1169" ht="20" customHeight="1" spans="1:7" x14ac:dyDescent="0.25">
      <c r="A1169" s="20" t="s">
        <v>24</v>
      </c>
      <c r="B1169" s="21" t="s">
        <v>25</v>
      </c>
      <c r="C1169" s="21" t="s">
        <v>26</v>
      </c>
      <c r="D1169" s="21" t="s">
        <v>27</v>
      </c>
      <c r="E1169" s="22" t="s">
        <v>23</v>
      </c>
      <c r="F1169" s="20" t="s">
        <v>27</v>
      </c>
      <c r="G1169" s="20" t="s">
        <v>27</v>
      </c>
    </row>
    <row r="1170" ht="22" customHeight="1" spans="1:7" x14ac:dyDescent="0.25">
      <c r="A1170" s="16" t="s">
        <v>28</v>
      </c>
      <c r="B1170" s="17" t="s">
        <v>52</v>
      </c>
      <c r="C1170" s="17" t="s">
        <v>467</v>
      </c>
      <c r="D1170" s="17" t="s">
        <v>23</v>
      </c>
      <c r="E1170" s="18">
        <v>40</v>
      </c>
      <c r="F1170" s="16" t="s">
        <v>27</v>
      </c>
      <c r="G1170" s="16" t="s">
        <v>23</v>
      </c>
    </row>
    <row r="1171" ht="20" customHeight="1" spans="1:7" x14ac:dyDescent="0.25">
      <c r="A1171" s="20" t="s">
        <v>30</v>
      </c>
      <c r="B1171" s="21" t="s">
        <v>25</v>
      </c>
      <c r="C1171" s="21" t="s">
        <v>26</v>
      </c>
      <c r="D1171" s="21" t="s">
        <v>27</v>
      </c>
      <c r="E1171" s="22" t="s">
        <v>23</v>
      </c>
      <c r="F1171" s="20" t="s">
        <v>27</v>
      </c>
      <c r="G1171" s="20" t="s">
        <v>27</v>
      </c>
    </row>
    <row r="1172" ht="22" customHeight="1" spans="1:7" x14ac:dyDescent="0.25">
      <c r="A1172" s="16" t="s">
        <v>31</v>
      </c>
      <c r="B1172" s="17" t="s">
        <v>56</v>
      </c>
      <c r="C1172" s="17" t="s">
        <v>467</v>
      </c>
      <c r="D1172" s="17" t="s">
        <v>23</v>
      </c>
      <c r="E1172" s="18">
        <v>40</v>
      </c>
      <c r="F1172" s="16" t="s">
        <v>27</v>
      </c>
      <c r="G1172" s="16" t="s">
        <v>23</v>
      </c>
    </row>
    <row r="1173" ht="20" customHeight="1" spans="1:7" x14ac:dyDescent="0.25">
      <c r="A1173" s="20" t="s">
        <v>35</v>
      </c>
      <c r="B1173" s="21" t="s">
        <v>25</v>
      </c>
      <c r="C1173" s="21" t="s">
        <v>26</v>
      </c>
      <c r="D1173" s="21" t="s">
        <v>27</v>
      </c>
      <c r="E1173" s="22" t="s">
        <v>23</v>
      </c>
      <c r="F1173" s="20" t="s">
        <v>27</v>
      </c>
      <c r="G1173" s="20" t="s">
        <v>27</v>
      </c>
    </row>
    <row r="1174" ht="22" customHeight="1" spans="1:7" x14ac:dyDescent="0.25">
      <c r="A1174" s="16" t="s">
        <v>36</v>
      </c>
      <c r="B1174" s="17" t="s">
        <v>56</v>
      </c>
      <c r="C1174" s="17" t="s">
        <v>467</v>
      </c>
      <c r="D1174" s="17" t="s">
        <v>23</v>
      </c>
      <c r="E1174" s="18">
        <v>40</v>
      </c>
      <c r="F1174" s="16" t="s">
        <v>27</v>
      </c>
      <c r="G1174" s="16" t="s">
        <v>23</v>
      </c>
    </row>
    <row r="1175" ht="24" customHeight="1" spans="1:7" x14ac:dyDescent="0.25">
      <c r="A1175" s="23" t="s">
        <v>38</v>
      </c>
      <c r="B1175" s="23" t="s">
        <v>39</v>
      </c>
      <c r="C1175" s="24" t="s">
        <v>40</v>
      </c>
      <c r="D1175" s="24" t="s">
        <v>41</v>
      </c>
      <c r="E1175" s="25">
        <f>SUM(E1168,E1170,E1172,E1174)</f>
        <v>160</v>
      </c>
      <c r="F1175" s="23" t="str">
        <f>ROUND(E1175/60, 1) &amp; " Saat"</f>
        <v>2.7 Saat</v>
      </c>
      <c r="G1175" s="23" t="str">
        <f>COUNTIF(G1168:G1174, "X") &amp; "/4"</f>
        <v>0/4</v>
      </c>
    </row>
    <row r="1176" ht="22" customHeight="1" spans="1:7" x14ac:dyDescent="0.25">
      <c r="A1176" s="15" t="s">
        <v>60</v>
      </c>
      <c r="B1176" s="15"/>
      <c r="C1176" s="15"/>
      <c r="D1176" s="15"/>
      <c r="E1176" s="15"/>
      <c r="F1176" s="15"/>
      <c r="G1176" s="15"/>
    </row>
    <row r="1177" ht="22" customHeight="1" spans="1:7" x14ac:dyDescent="0.25">
      <c r="A1177" s="16" t="s">
        <v>18</v>
      </c>
      <c r="B1177" s="17" t="s">
        <v>43</v>
      </c>
      <c r="C1177" s="17" t="s">
        <v>558</v>
      </c>
      <c r="D1177" s="17" t="s">
        <v>45</v>
      </c>
      <c r="E1177" s="18">
        <v>50.2</v>
      </c>
      <c r="F1177" s="19" t="s">
        <v>22</v>
      </c>
      <c r="G1177" s="16" t="s">
        <v>23</v>
      </c>
    </row>
    <row r="1178" ht="20" customHeight="1" spans="1:7" x14ac:dyDescent="0.25">
      <c r="A1178" s="20" t="s">
        <v>24</v>
      </c>
      <c r="B1178" s="21" t="s">
        <v>25</v>
      </c>
      <c r="C1178" s="21" t="s">
        <v>26</v>
      </c>
      <c r="D1178" s="21" t="s">
        <v>27</v>
      </c>
      <c r="E1178" s="22" t="s">
        <v>23</v>
      </c>
      <c r="F1178" s="20" t="s">
        <v>27</v>
      </c>
      <c r="G1178" s="20" t="s">
        <v>27</v>
      </c>
    </row>
    <row r="1179" ht="22" customHeight="1" spans="1:7" x14ac:dyDescent="0.25">
      <c r="A1179" s="16" t="s">
        <v>28</v>
      </c>
      <c r="B1179" s="17" t="s">
        <v>43</v>
      </c>
      <c r="C1179" s="17" t="s">
        <v>559</v>
      </c>
      <c r="D1179" s="17" t="s">
        <v>45</v>
      </c>
      <c r="E1179" s="18">
        <v>31.1</v>
      </c>
      <c r="F1179" s="19" t="s">
        <v>22</v>
      </c>
      <c r="G1179" s="16" t="s">
        <v>23</v>
      </c>
    </row>
    <row r="1180" ht="20" customHeight="1" spans="1:7" x14ac:dyDescent="0.25">
      <c r="A1180" s="20" t="s">
        <v>30</v>
      </c>
      <c r="B1180" s="21" t="s">
        <v>25</v>
      </c>
      <c r="C1180" s="21" t="s">
        <v>26</v>
      </c>
      <c r="D1180" s="21" t="s">
        <v>27</v>
      </c>
      <c r="E1180" s="22" t="s">
        <v>23</v>
      </c>
      <c r="F1180" s="20" t="s">
        <v>27</v>
      </c>
      <c r="G1180" s="20" t="s">
        <v>27</v>
      </c>
    </row>
    <row r="1181" ht="22" customHeight="1" spans="1:7" x14ac:dyDescent="0.25">
      <c r="A1181" s="16" t="s">
        <v>31</v>
      </c>
      <c r="B1181" s="17" t="s">
        <v>63</v>
      </c>
      <c r="C1181" s="17" t="s">
        <v>560</v>
      </c>
      <c r="D1181" s="17" t="s">
        <v>65</v>
      </c>
      <c r="E1181" s="18">
        <v>36.7</v>
      </c>
      <c r="F1181" s="19" t="s">
        <v>22</v>
      </c>
      <c r="G1181" s="16" t="s">
        <v>23</v>
      </c>
    </row>
    <row r="1182" ht="20" customHeight="1" spans="1:7" x14ac:dyDescent="0.25">
      <c r="A1182" s="20" t="s">
        <v>35</v>
      </c>
      <c r="B1182" s="21" t="s">
        <v>25</v>
      </c>
      <c r="C1182" s="21" t="s">
        <v>26</v>
      </c>
      <c r="D1182" s="21" t="s">
        <v>27</v>
      </c>
      <c r="E1182" s="22" t="s">
        <v>23</v>
      </c>
      <c r="F1182" s="20" t="s">
        <v>27</v>
      </c>
      <c r="G1182" s="20" t="s">
        <v>27</v>
      </c>
    </row>
    <row r="1183" ht="22" customHeight="1" spans="1:7" x14ac:dyDescent="0.25">
      <c r="A1183" s="16" t="s">
        <v>36</v>
      </c>
      <c r="B1183" s="17" t="s">
        <v>63</v>
      </c>
      <c r="C1183" s="17" t="s">
        <v>561</v>
      </c>
      <c r="D1183" s="17" t="s">
        <v>65</v>
      </c>
      <c r="E1183" s="18">
        <v>30.7</v>
      </c>
      <c r="F1183" s="19" t="s">
        <v>22</v>
      </c>
      <c r="G1183" s="16" t="s">
        <v>23</v>
      </c>
    </row>
    <row r="1184" ht="24" customHeight="1" spans="1:7" x14ac:dyDescent="0.25">
      <c r="A1184" s="23" t="s">
        <v>38</v>
      </c>
      <c r="B1184" s="23" t="s">
        <v>39</v>
      </c>
      <c r="C1184" s="24" t="s">
        <v>40</v>
      </c>
      <c r="D1184" s="24" t="s">
        <v>41</v>
      </c>
      <c r="E1184" s="25">
        <f>SUM(E1177,E1179,E1181,E1183)</f>
        <v>148.7</v>
      </c>
      <c r="F1184" s="23" t="str">
        <f>ROUND(E1184/60, 1) &amp; " Saat"</f>
        <v>2.5 Saat</v>
      </c>
      <c r="G1184" s="23" t="str">
        <f>COUNTIF(G1177:G1183, "X") &amp; "/4"</f>
        <v>0/4</v>
      </c>
    </row>
    <row r="1185" ht="22" customHeight="1" spans="1:7" x14ac:dyDescent="0.25">
      <c r="A1185" s="15" t="s">
        <v>67</v>
      </c>
      <c r="B1185" s="15"/>
      <c r="C1185" s="15"/>
      <c r="D1185" s="15"/>
      <c r="E1185" s="15"/>
      <c r="F1185" s="15"/>
      <c r="G1185" s="15"/>
    </row>
    <row r="1186" ht="22" customHeight="1" spans="1:7" x14ac:dyDescent="0.25">
      <c r="A1186" s="16" t="s">
        <v>18</v>
      </c>
      <c r="B1186" s="17" t="s">
        <v>68</v>
      </c>
      <c r="C1186" s="17" t="s">
        <v>562</v>
      </c>
      <c r="D1186" s="17" t="s">
        <v>70</v>
      </c>
      <c r="E1186" s="18">
        <v>91.9</v>
      </c>
      <c r="F1186" s="19" t="s">
        <v>22</v>
      </c>
      <c r="G1186" s="16" t="s">
        <v>23</v>
      </c>
    </row>
    <row r="1187" ht="20" customHeight="1" spans="1:7" x14ac:dyDescent="0.25">
      <c r="A1187" s="20" t="s">
        <v>24</v>
      </c>
      <c r="B1187" s="21" t="s">
        <v>25</v>
      </c>
      <c r="C1187" s="21" t="s">
        <v>26</v>
      </c>
      <c r="D1187" s="21" t="s">
        <v>27</v>
      </c>
      <c r="E1187" s="22" t="s">
        <v>23</v>
      </c>
      <c r="F1187" s="20" t="s">
        <v>27</v>
      </c>
      <c r="G1187" s="20" t="s">
        <v>27</v>
      </c>
    </row>
    <row r="1188" ht="22" customHeight="1" spans="1:7" x14ac:dyDescent="0.25">
      <c r="A1188" s="16" t="s">
        <v>28</v>
      </c>
      <c r="B1188" s="17" t="s">
        <v>68</v>
      </c>
      <c r="C1188" s="17" t="s">
        <v>563</v>
      </c>
      <c r="D1188" s="17" t="s">
        <v>70</v>
      </c>
      <c r="E1188" s="18">
        <v>58.2</v>
      </c>
      <c r="F1188" s="19" t="s">
        <v>22</v>
      </c>
      <c r="G1188" s="16" t="s">
        <v>23</v>
      </c>
    </row>
    <row r="1189" ht="20" customHeight="1" spans="1:7" x14ac:dyDescent="0.25">
      <c r="A1189" s="20" t="s">
        <v>30</v>
      </c>
      <c r="B1189" s="21" t="s">
        <v>25</v>
      </c>
      <c r="C1189" s="21" t="s">
        <v>26</v>
      </c>
      <c r="D1189" s="21" t="s">
        <v>27</v>
      </c>
      <c r="E1189" s="22" t="s">
        <v>23</v>
      </c>
      <c r="F1189" s="20" t="s">
        <v>27</v>
      </c>
      <c r="G1189" s="20" t="s">
        <v>27</v>
      </c>
    </row>
    <row r="1190" ht="22" customHeight="1" spans="1:7" x14ac:dyDescent="0.25">
      <c r="A1190" s="16" t="s">
        <v>31</v>
      </c>
      <c r="B1190" s="17" t="s">
        <v>449</v>
      </c>
      <c r="C1190" s="17" t="s">
        <v>564</v>
      </c>
      <c r="D1190" s="17" t="s">
        <v>34</v>
      </c>
      <c r="E1190" s="18">
        <v>40.8</v>
      </c>
      <c r="F1190" s="19" t="s">
        <v>22</v>
      </c>
      <c r="G1190" s="16" t="s">
        <v>23</v>
      </c>
    </row>
    <row r="1191" ht="20" customHeight="1" spans="1:7" x14ac:dyDescent="0.25">
      <c r="A1191" s="20" t="s">
        <v>35</v>
      </c>
      <c r="B1191" s="21" t="s">
        <v>25</v>
      </c>
      <c r="C1191" s="21" t="s">
        <v>26</v>
      </c>
      <c r="D1191" s="21" t="s">
        <v>27</v>
      </c>
      <c r="E1191" s="22" t="s">
        <v>23</v>
      </c>
      <c r="F1191" s="20" t="s">
        <v>27</v>
      </c>
      <c r="G1191" s="20" t="s">
        <v>27</v>
      </c>
    </row>
    <row r="1192" ht="22" customHeight="1" spans="1:7" x14ac:dyDescent="0.25">
      <c r="A1192" s="16" t="s">
        <v>36</v>
      </c>
      <c r="B1192" s="17" t="s">
        <v>449</v>
      </c>
      <c r="C1192" s="17" t="s">
        <v>565</v>
      </c>
      <c r="D1192" s="17" t="s">
        <v>34</v>
      </c>
      <c r="E1192" s="18">
        <v>25.8</v>
      </c>
      <c r="F1192" s="19" t="s">
        <v>22</v>
      </c>
      <c r="G1192" s="16" t="s">
        <v>23</v>
      </c>
    </row>
    <row r="1193" ht="24" customHeight="1" spans="1:7" x14ac:dyDescent="0.25">
      <c r="A1193" s="23" t="s">
        <v>38</v>
      </c>
      <c r="B1193" s="23" t="s">
        <v>39</v>
      </c>
      <c r="C1193" s="24" t="s">
        <v>40</v>
      </c>
      <c r="D1193" s="24" t="s">
        <v>41</v>
      </c>
      <c r="E1193" s="25">
        <f>SUM(E1186,E1188,E1190,E1192)</f>
        <v>216.7</v>
      </c>
      <c r="F1193" s="23" t="str">
        <f>ROUND(E1193/60, 1) &amp; " Saat"</f>
        <v>3.6 Saat</v>
      </c>
      <c r="G1193" s="23" t="str">
        <f>COUNTIF(G1186:G1192, "X") &amp; "/4"</f>
        <v>0/4</v>
      </c>
    </row>
    <row r="1194" ht="22" customHeight="1" spans="1:7" x14ac:dyDescent="0.25">
      <c r="A1194" s="15" t="s">
        <v>74</v>
      </c>
      <c r="B1194" s="15"/>
      <c r="C1194" s="15"/>
      <c r="D1194" s="15"/>
      <c r="E1194" s="15"/>
      <c r="F1194" s="15"/>
      <c r="G1194" s="15"/>
    </row>
    <row r="1195" ht="22" customHeight="1" spans="1:7" x14ac:dyDescent="0.25">
      <c r="A1195" s="16" t="s">
        <v>18</v>
      </c>
      <c r="B1195" s="17" t="s">
        <v>47</v>
      </c>
      <c r="C1195" s="17" t="s">
        <v>566</v>
      </c>
      <c r="D1195" s="17" t="s">
        <v>49</v>
      </c>
      <c r="E1195" s="18">
        <v>36.1</v>
      </c>
      <c r="F1195" s="19" t="s">
        <v>22</v>
      </c>
      <c r="G1195" s="16" t="s">
        <v>23</v>
      </c>
    </row>
    <row r="1196" ht="20" customHeight="1" spans="1:7" x14ac:dyDescent="0.25">
      <c r="A1196" s="20" t="s">
        <v>24</v>
      </c>
      <c r="B1196" s="21" t="s">
        <v>25</v>
      </c>
      <c r="C1196" s="21" t="s">
        <v>26</v>
      </c>
      <c r="D1196" s="21" t="s">
        <v>27</v>
      </c>
      <c r="E1196" s="22" t="s">
        <v>23</v>
      </c>
      <c r="F1196" s="20" t="s">
        <v>27</v>
      </c>
      <c r="G1196" s="20" t="s">
        <v>27</v>
      </c>
    </row>
    <row r="1197" ht="22" customHeight="1" spans="1:7" x14ac:dyDescent="0.25">
      <c r="A1197" s="16" t="s">
        <v>28</v>
      </c>
      <c r="B1197" s="17" t="s">
        <v>47</v>
      </c>
      <c r="C1197" s="17" t="s">
        <v>567</v>
      </c>
      <c r="D1197" s="17" t="s">
        <v>49</v>
      </c>
      <c r="E1197" s="18">
        <v>30.6</v>
      </c>
      <c r="F1197" s="19" t="s">
        <v>22</v>
      </c>
      <c r="G1197" s="16" t="s">
        <v>23</v>
      </c>
    </row>
    <row r="1198" ht="20" customHeight="1" spans="1:7" x14ac:dyDescent="0.25">
      <c r="A1198" s="20" t="s">
        <v>30</v>
      </c>
      <c r="B1198" s="21" t="s">
        <v>25</v>
      </c>
      <c r="C1198" s="21" t="s">
        <v>26</v>
      </c>
      <c r="D1198" s="21" t="s">
        <v>27</v>
      </c>
      <c r="E1198" s="22" t="s">
        <v>23</v>
      </c>
      <c r="F1198" s="20" t="s">
        <v>27</v>
      </c>
      <c r="G1198" s="20" t="s">
        <v>27</v>
      </c>
    </row>
    <row r="1199" ht="22" customHeight="1" spans="1:7" x14ac:dyDescent="0.25">
      <c r="A1199" s="16" t="s">
        <v>31</v>
      </c>
      <c r="B1199" s="17" t="s">
        <v>568</v>
      </c>
      <c r="C1199" s="17" t="s">
        <v>467</v>
      </c>
      <c r="D1199" s="17" t="s">
        <v>23</v>
      </c>
      <c r="E1199" s="18">
        <v>40</v>
      </c>
      <c r="F1199" s="16" t="s">
        <v>27</v>
      </c>
      <c r="G1199" s="16" t="s">
        <v>23</v>
      </c>
    </row>
    <row r="1200" ht="20" customHeight="1" spans="1:7" x14ac:dyDescent="0.25">
      <c r="A1200" s="20" t="s">
        <v>35</v>
      </c>
      <c r="B1200" s="21" t="s">
        <v>25</v>
      </c>
      <c r="C1200" s="21" t="s">
        <v>26</v>
      </c>
      <c r="D1200" s="21" t="s">
        <v>27</v>
      </c>
      <c r="E1200" s="22" t="s">
        <v>23</v>
      </c>
      <c r="F1200" s="20" t="s">
        <v>27</v>
      </c>
      <c r="G1200" s="20" t="s">
        <v>27</v>
      </c>
    </row>
    <row r="1201" ht="22" customHeight="1" spans="1:7" x14ac:dyDescent="0.25">
      <c r="A1201" s="16" t="s">
        <v>36</v>
      </c>
      <c r="B1201" s="17" t="s">
        <v>568</v>
      </c>
      <c r="C1201" s="17" t="s">
        <v>467</v>
      </c>
      <c r="D1201" s="17" t="s">
        <v>23</v>
      </c>
      <c r="E1201" s="18">
        <v>40</v>
      </c>
      <c r="F1201" s="16" t="s">
        <v>27</v>
      </c>
      <c r="G1201" s="16" t="s">
        <v>23</v>
      </c>
    </row>
    <row r="1202" ht="24" customHeight="1" spans="1:7" x14ac:dyDescent="0.25">
      <c r="A1202" s="23" t="s">
        <v>38</v>
      </c>
      <c r="B1202" s="23" t="s">
        <v>39</v>
      </c>
      <c r="C1202" s="24" t="s">
        <v>40</v>
      </c>
      <c r="D1202" s="24" t="s">
        <v>41</v>
      </c>
      <c r="E1202" s="25">
        <f>SUM(E1195,E1197,E1199,E1201)</f>
        <v>146.7</v>
      </c>
      <c r="F1202" s="23" t="str">
        <f>ROUND(E1202/60, 1) &amp; " Saat"</f>
        <v>2.4 Saat</v>
      </c>
      <c r="G1202" s="23" t="str">
        <f>COUNTIF(G1195:G1201, "X") &amp; "/4"</f>
        <v>0/4</v>
      </c>
    </row>
    <row r="1203" ht="28" customHeight="1" spans="1:7" x14ac:dyDescent="0.25">
      <c r="A1203" s="26" t="s">
        <v>79</v>
      </c>
      <c r="B1203" s="26"/>
      <c r="C1203" s="26"/>
      <c r="D1203" s="26"/>
      <c r="E1203" s="26"/>
      <c r="F1203" s="26"/>
      <c r="G1203" s="26"/>
    </row>
    <row r="1204" ht="8" customHeight="1" x14ac:dyDescent="0.25"/>
    <row r="1205" ht="25" customHeight="1" spans="1:7" x14ac:dyDescent="0.25">
      <c r="A1205" s="14" t="s">
        <v>569</v>
      </c>
      <c r="B1205" s="14"/>
      <c r="C1205" s="14"/>
      <c r="D1205" s="14"/>
      <c r="E1205" s="14"/>
      <c r="F1205" s="14"/>
      <c r="G1205" s="14"/>
    </row>
    <row r="1206" ht="22" customHeight="1" spans="1:7" x14ac:dyDescent="0.25">
      <c r="A1206" s="15" t="s">
        <v>17</v>
      </c>
      <c r="B1206" s="15"/>
      <c r="C1206" s="15"/>
      <c r="D1206" s="15"/>
      <c r="E1206" s="15"/>
      <c r="F1206" s="15"/>
      <c r="G1206" s="15"/>
    </row>
    <row r="1207" ht="22" customHeight="1" spans="1:7" x14ac:dyDescent="0.25">
      <c r="A1207" s="16" t="s">
        <v>18</v>
      </c>
      <c r="B1207" s="17" t="s">
        <v>19</v>
      </c>
      <c r="C1207" s="17" t="s">
        <v>570</v>
      </c>
      <c r="D1207" s="17" t="s">
        <v>21</v>
      </c>
      <c r="E1207" s="18">
        <v>25.8</v>
      </c>
      <c r="F1207" s="19" t="s">
        <v>22</v>
      </c>
      <c r="G1207" s="16" t="s">
        <v>23</v>
      </c>
    </row>
    <row r="1208" ht="20" customHeight="1" spans="1:7" x14ac:dyDescent="0.25">
      <c r="A1208" s="20" t="s">
        <v>24</v>
      </c>
      <c r="B1208" s="21" t="s">
        <v>25</v>
      </c>
      <c r="C1208" s="21" t="s">
        <v>26</v>
      </c>
      <c r="D1208" s="21" t="s">
        <v>27</v>
      </c>
      <c r="E1208" s="22" t="s">
        <v>23</v>
      </c>
      <c r="F1208" s="20" t="s">
        <v>27</v>
      </c>
      <c r="G1208" s="20" t="s">
        <v>27</v>
      </c>
    </row>
    <row r="1209" ht="22" customHeight="1" spans="1:7" x14ac:dyDescent="0.25">
      <c r="A1209" s="16" t="s">
        <v>28</v>
      </c>
      <c r="B1209" s="17" t="s">
        <v>19</v>
      </c>
      <c r="C1209" s="17" t="s">
        <v>571</v>
      </c>
      <c r="D1209" s="17" t="s">
        <v>21</v>
      </c>
      <c r="E1209" s="18">
        <v>32.2</v>
      </c>
      <c r="F1209" s="19" t="s">
        <v>22</v>
      </c>
      <c r="G1209" s="16" t="s">
        <v>23</v>
      </c>
    </row>
    <row r="1210" ht="20" customHeight="1" spans="1:7" x14ac:dyDescent="0.25">
      <c r="A1210" s="20" t="s">
        <v>30</v>
      </c>
      <c r="B1210" s="21" t="s">
        <v>25</v>
      </c>
      <c r="C1210" s="21" t="s">
        <v>26</v>
      </c>
      <c r="D1210" s="21" t="s">
        <v>27</v>
      </c>
      <c r="E1210" s="22" t="s">
        <v>23</v>
      </c>
      <c r="F1210" s="20" t="s">
        <v>27</v>
      </c>
      <c r="G1210" s="20" t="s">
        <v>27</v>
      </c>
    </row>
    <row r="1211" ht="22" customHeight="1" spans="1:7" x14ac:dyDescent="0.25">
      <c r="A1211" s="16" t="s">
        <v>31</v>
      </c>
      <c r="B1211" s="17" t="s">
        <v>32</v>
      </c>
      <c r="C1211" s="17" t="s">
        <v>572</v>
      </c>
      <c r="D1211" s="17" t="s">
        <v>34</v>
      </c>
      <c r="E1211" s="18">
        <v>34.9</v>
      </c>
      <c r="F1211" s="19" t="s">
        <v>22</v>
      </c>
      <c r="G1211" s="16" t="s">
        <v>23</v>
      </c>
    </row>
    <row r="1212" ht="20" customHeight="1" spans="1:7" x14ac:dyDescent="0.25">
      <c r="A1212" s="20" t="s">
        <v>35</v>
      </c>
      <c r="B1212" s="21" t="s">
        <v>25</v>
      </c>
      <c r="C1212" s="21" t="s">
        <v>26</v>
      </c>
      <c r="D1212" s="21" t="s">
        <v>27</v>
      </c>
      <c r="E1212" s="22" t="s">
        <v>23</v>
      </c>
      <c r="F1212" s="20" t="s">
        <v>27</v>
      </c>
      <c r="G1212" s="20" t="s">
        <v>27</v>
      </c>
    </row>
    <row r="1213" ht="22" customHeight="1" spans="1:7" x14ac:dyDescent="0.25">
      <c r="A1213" s="16" t="s">
        <v>36</v>
      </c>
      <c r="B1213" s="17" t="s">
        <v>32</v>
      </c>
      <c r="C1213" s="17" t="s">
        <v>573</v>
      </c>
      <c r="D1213" s="17" t="s">
        <v>34</v>
      </c>
      <c r="E1213" s="18">
        <v>30.2</v>
      </c>
      <c r="F1213" s="19" t="s">
        <v>22</v>
      </c>
      <c r="G1213" s="16" t="s">
        <v>23</v>
      </c>
    </row>
    <row r="1214" ht="24" customHeight="1" spans="1:7" x14ac:dyDescent="0.25">
      <c r="A1214" s="23" t="s">
        <v>38</v>
      </c>
      <c r="B1214" s="23" t="s">
        <v>39</v>
      </c>
      <c r="C1214" s="24" t="s">
        <v>40</v>
      </c>
      <c r="D1214" s="24" t="s">
        <v>41</v>
      </c>
      <c r="E1214" s="25">
        <f>SUM(E1207,E1209,E1211,E1213)</f>
        <v>123.1</v>
      </c>
      <c r="F1214" s="23" t="str">
        <f>ROUND(E1214/60, 1) &amp; " Saat"</f>
        <v>2.1 Saat</v>
      </c>
      <c r="G1214" s="23" t="str">
        <f>COUNTIF(G1207:G1213, "X") &amp; "/4"</f>
        <v>0/4</v>
      </c>
    </row>
    <row r="1215" ht="22" customHeight="1" spans="1:7" x14ac:dyDescent="0.25">
      <c r="A1215" s="15" t="s">
        <v>42</v>
      </c>
      <c r="B1215" s="15"/>
      <c r="C1215" s="15"/>
      <c r="D1215" s="15"/>
      <c r="E1215" s="15"/>
      <c r="F1215" s="15"/>
      <c r="G1215" s="15"/>
    </row>
    <row r="1216" ht="22" customHeight="1" spans="1:7" x14ac:dyDescent="0.25">
      <c r="A1216" s="16" t="s">
        <v>18</v>
      </c>
      <c r="B1216" s="17" t="s">
        <v>43</v>
      </c>
      <c r="C1216" s="17" t="s">
        <v>574</v>
      </c>
      <c r="D1216" s="17" t="s">
        <v>45</v>
      </c>
      <c r="E1216" s="18">
        <v>31.1</v>
      </c>
      <c r="F1216" s="19" t="s">
        <v>22</v>
      </c>
      <c r="G1216" s="16" t="s">
        <v>23</v>
      </c>
    </row>
    <row r="1217" ht="20" customHeight="1" spans="1:7" x14ac:dyDescent="0.25">
      <c r="A1217" s="20" t="s">
        <v>24</v>
      </c>
      <c r="B1217" s="21" t="s">
        <v>25</v>
      </c>
      <c r="C1217" s="21" t="s">
        <v>26</v>
      </c>
      <c r="D1217" s="21" t="s">
        <v>27</v>
      </c>
      <c r="E1217" s="22" t="s">
        <v>23</v>
      </c>
      <c r="F1217" s="20" t="s">
        <v>27</v>
      </c>
      <c r="G1217" s="20" t="s">
        <v>27</v>
      </c>
    </row>
    <row r="1218" ht="22" customHeight="1" spans="1:7" x14ac:dyDescent="0.25">
      <c r="A1218" s="16" t="s">
        <v>28</v>
      </c>
      <c r="B1218" s="17" t="s">
        <v>43</v>
      </c>
      <c r="C1218" s="17" t="s">
        <v>575</v>
      </c>
      <c r="D1218" s="17" t="s">
        <v>45</v>
      </c>
      <c r="E1218" s="18">
        <v>55.8</v>
      </c>
      <c r="F1218" s="19" t="s">
        <v>22</v>
      </c>
      <c r="G1218" s="16" t="s">
        <v>23</v>
      </c>
    </row>
    <row r="1219" ht="20" customHeight="1" spans="1:7" x14ac:dyDescent="0.25">
      <c r="A1219" s="20" t="s">
        <v>30</v>
      </c>
      <c r="B1219" s="21" t="s">
        <v>25</v>
      </c>
      <c r="C1219" s="21" t="s">
        <v>26</v>
      </c>
      <c r="D1219" s="21" t="s">
        <v>27</v>
      </c>
      <c r="E1219" s="22" t="s">
        <v>23</v>
      </c>
      <c r="F1219" s="20" t="s">
        <v>27</v>
      </c>
      <c r="G1219" s="20" t="s">
        <v>27</v>
      </c>
    </row>
    <row r="1220" ht="22" customHeight="1" spans="1:7" x14ac:dyDescent="0.25">
      <c r="A1220" s="16" t="s">
        <v>31</v>
      </c>
      <c r="B1220" s="17" t="s">
        <v>47</v>
      </c>
      <c r="C1220" s="17" t="s">
        <v>576</v>
      </c>
      <c r="D1220" s="17" t="s">
        <v>49</v>
      </c>
      <c r="E1220" s="18">
        <v>60</v>
      </c>
      <c r="F1220" s="19" t="s">
        <v>22</v>
      </c>
      <c r="G1220" s="16" t="s">
        <v>23</v>
      </c>
    </row>
    <row r="1221" ht="20" customHeight="1" spans="1:7" x14ac:dyDescent="0.25">
      <c r="A1221" s="20" t="s">
        <v>35</v>
      </c>
      <c r="B1221" s="21" t="s">
        <v>25</v>
      </c>
      <c r="C1221" s="21" t="s">
        <v>26</v>
      </c>
      <c r="D1221" s="21" t="s">
        <v>27</v>
      </c>
      <c r="E1221" s="22" t="s">
        <v>23</v>
      </c>
      <c r="F1221" s="20" t="s">
        <v>27</v>
      </c>
      <c r="G1221" s="20" t="s">
        <v>27</v>
      </c>
    </row>
    <row r="1222" ht="22" customHeight="1" spans="1:7" x14ac:dyDescent="0.25">
      <c r="A1222" s="16" t="s">
        <v>36</v>
      </c>
      <c r="B1222" s="17" t="s">
        <v>47</v>
      </c>
      <c r="C1222" s="17" t="s">
        <v>577</v>
      </c>
      <c r="D1222" s="17" t="s">
        <v>49</v>
      </c>
      <c r="E1222" s="18">
        <v>43.2</v>
      </c>
      <c r="F1222" s="19" t="s">
        <v>22</v>
      </c>
      <c r="G1222" s="16" t="s">
        <v>23</v>
      </c>
    </row>
    <row r="1223" ht="24" customHeight="1" spans="1:7" x14ac:dyDescent="0.25">
      <c r="A1223" s="23" t="s">
        <v>38</v>
      </c>
      <c r="B1223" s="23" t="s">
        <v>39</v>
      </c>
      <c r="C1223" s="24" t="s">
        <v>40</v>
      </c>
      <c r="D1223" s="24" t="s">
        <v>41</v>
      </c>
      <c r="E1223" s="25">
        <f>SUM(E1216,E1218,E1220,E1222)</f>
        <v>190.1</v>
      </c>
      <c r="F1223" s="23" t="str">
        <f>ROUND(E1223/60, 1) &amp; " Saat"</f>
        <v>3.2 Saat</v>
      </c>
      <c r="G1223" s="23" t="str">
        <f>COUNTIF(G1216:G1222, "X") &amp; "/4"</f>
        <v>0/4</v>
      </c>
    </row>
    <row r="1224" ht="22" customHeight="1" spans="1:7" x14ac:dyDescent="0.25">
      <c r="A1224" s="15" t="s">
        <v>51</v>
      </c>
      <c r="B1224" s="15"/>
      <c r="C1224" s="15"/>
      <c r="D1224" s="15"/>
      <c r="E1224" s="15"/>
      <c r="F1224" s="15"/>
      <c r="G1224" s="15"/>
    </row>
    <row r="1225" ht="22" customHeight="1" spans="1:7" x14ac:dyDescent="0.25">
      <c r="A1225" s="16" t="s">
        <v>18</v>
      </c>
      <c r="B1225" s="17" t="s">
        <v>52</v>
      </c>
      <c r="C1225" s="17" t="s">
        <v>467</v>
      </c>
      <c r="D1225" s="17" t="s">
        <v>23</v>
      </c>
      <c r="E1225" s="18">
        <v>40</v>
      </c>
      <c r="F1225" s="16" t="s">
        <v>27</v>
      </c>
      <c r="G1225" s="16" t="s">
        <v>23</v>
      </c>
    </row>
    <row r="1226" ht="20" customHeight="1" spans="1:7" x14ac:dyDescent="0.25">
      <c r="A1226" s="20" t="s">
        <v>24</v>
      </c>
      <c r="B1226" s="21" t="s">
        <v>25</v>
      </c>
      <c r="C1226" s="21" t="s">
        <v>26</v>
      </c>
      <c r="D1226" s="21" t="s">
        <v>27</v>
      </c>
      <c r="E1226" s="22" t="s">
        <v>23</v>
      </c>
      <c r="F1226" s="20" t="s">
        <v>27</v>
      </c>
      <c r="G1226" s="20" t="s">
        <v>27</v>
      </c>
    </row>
    <row r="1227" ht="22" customHeight="1" spans="1:7" x14ac:dyDescent="0.25">
      <c r="A1227" s="16" t="s">
        <v>28</v>
      </c>
      <c r="B1227" s="17" t="s">
        <v>52</v>
      </c>
      <c r="C1227" s="17" t="s">
        <v>467</v>
      </c>
      <c r="D1227" s="17" t="s">
        <v>23</v>
      </c>
      <c r="E1227" s="18">
        <v>40</v>
      </c>
      <c r="F1227" s="16" t="s">
        <v>27</v>
      </c>
      <c r="G1227" s="16" t="s">
        <v>23</v>
      </c>
    </row>
    <row r="1228" ht="20" customHeight="1" spans="1:7" x14ac:dyDescent="0.25">
      <c r="A1228" s="20" t="s">
        <v>30</v>
      </c>
      <c r="B1228" s="21" t="s">
        <v>25</v>
      </c>
      <c r="C1228" s="21" t="s">
        <v>26</v>
      </c>
      <c r="D1228" s="21" t="s">
        <v>27</v>
      </c>
      <c r="E1228" s="22" t="s">
        <v>23</v>
      </c>
      <c r="F1228" s="20" t="s">
        <v>27</v>
      </c>
      <c r="G1228" s="20" t="s">
        <v>27</v>
      </c>
    </row>
    <row r="1229" ht="22" customHeight="1" spans="1:7" x14ac:dyDescent="0.25">
      <c r="A1229" s="16" t="s">
        <v>31</v>
      </c>
      <c r="B1229" s="17" t="s">
        <v>56</v>
      </c>
      <c r="C1229" s="17" t="s">
        <v>467</v>
      </c>
      <c r="D1229" s="17" t="s">
        <v>23</v>
      </c>
      <c r="E1229" s="18">
        <v>40</v>
      </c>
      <c r="F1229" s="16" t="s">
        <v>27</v>
      </c>
      <c r="G1229" s="16" t="s">
        <v>23</v>
      </c>
    </row>
    <row r="1230" ht="20" customHeight="1" spans="1:7" x14ac:dyDescent="0.25">
      <c r="A1230" s="20" t="s">
        <v>35</v>
      </c>
      <c r="B1230" s="21" t="s">
        <v>25</v>
      </c>
      <c r="C1230" s="21" t="s">
        <v>26</v>
      </c>
      <c r="D1230" s="21" t="s">
        <v>27</v>
      </c>
      <c r="E1230" s="22" t="s">
        <v>23</v>
      </c>
      <c r="F1230" s="20" t="s">
        <v>27</v>
      </c>
      <c r="G1230" s="20" t="s">
        <v>27</v>
      </c>
    </row>
    <row r="1231" ht="22" customHeight="1" spans="1:7" x14ac:dyDescent="0.25">
      <c r="A1231" s="16" t="s">
        <v>36</v>
      </c>
      <c r="B1231" s="17" t="s">
        <v>56</v>
      </c>
      <c r="C1231" s="17" t="s">
        <v>467</v>
      </c>
      <c r="D1231" s="17" t="s">
        <v>23</v>
      </c>
      <c r="E1231" s="18">
        <v>40</v>
      </c>
      <c r="F1231" s="16" t="s">
        <v>27</v>
      </c>
      <c r="G1231" s="16" t="s">
        <v>23</v>
      </c>
    </row>
    <row r="1232" ht="24" customHeight="1" spans="1:7" x14ac:dyDescent="0.25">
      <c r="A1232" s="23" t="s">
        <v>38</v>
      </c>
      <c r="B1232" s="23" t="s">
        <v>39</v>
      </c>
      <c r="C1232" s="24" t="s">
        <v>40</v>
      </c>
      <c r="D1232" s="24" t="s">
        <v>41</v>
      </c>
      <c r="E1232" s="25">
        <f>SUM(E1225,E1227,E1229,E1231)</f>
        <v>160</v>
      </c>
      <c r="F1232" s="23" t="str">
        <f>ROUND(E1232/60, 1) &amp; " Saat"</f>
        <v>2.7 Saat</v>
      </c>
      <c r="G1232" s="23" t="str">
        <f>COUNTIF(G1225:G1231, "X") &amp; "/4"</f>
        <v>0/4</v>
      </c>
    </row>
    <row r="1233" ht="22" customHeight="1" spans="1:7" x14ac:dyDescent="0.25">
      <c r="A1233" s="15" t="s">
        <v>60</v>
      </c>
      <c r="B1233" s="15"/>
      <c r="C1233" s="15"/>
      <c r="D1233" s="15"/>
      <c r="E1233" s="15"/>
      <c r="F1233" s="15"/>
      <c r="G1233" s="15"/>
    </row>
    <row r="1234" ht="22" customHeight="1" spans="1:7" x14ac:dyDescent="0.25">
      <c r="A1234" s="16" t="s">
        <v>18</v>
      </c>
      <c r="B1234" s="17" t="s">
        <v>43</v>
      </c>
      <c r="C1234" s="17" t="s">
        <v>578</v>
      </c>
      <c r="D1234" s="17" t="s">
        <v>45</v>
      </c>
      <c r="E1234" s="18">
        <v>53.6</v>
      </c>
      <c r="F1234" s="19" t="s">
        <v>22</v>
      </c>
      <c r="G1234" s="16" t="s">
        <v>23</v>
      </c>
    </row>
    <row r="1235" ht="20" customHeight="1" spans="1:7" x14ac:dyDescent="0.25">
      <c r="A1235" s="20" t="s">
        <v>24</v>
      </c>
      <c r="B1235" s="21" t="s">
        <v>25</v>
      </c>
      <c r="C1235" s="21" t="s">
        <v>26</v>
      </c>
      <c r="D1235" s="21" t="s">
        <v>27</v>
      </c>
      <c r="E1235" s="22" t="s">
        <v>23</v>
      </c>
      <c r="F1235" s="20" t="s">
        <v>27</v>
      </c>
      <c r="G1235" s="20" t="s">
        <v>27</v>
      </c>
    </row>
    <row r="1236" ht="22" customHeight="1" spans="1:7" x14ac:dyDescent="0.25">
      <c r="A1236" s="16" t="s">
        <v>28</v>
      </c>
      <c r="B1236" s="17" t="s">
        <v>43</v>
      </c>
      <c r="C1236" s="17" t="s">
        <v>579</v>
      </c>
      <c r="D1236" s="17" t="s">
        <v>45</v>
      </c>
      <c r="E1236" s="18">
        <v>48.3</v>
      </c>
      <c r="F1236" s="19" t="s">
        <v>22</v>
      </c>
      <c r="G1236" s="16" t="s">
        <v>23</v>
      </c>
    </row>
    <row r="1237" ht="20" customHeight="1" spans="1:7" x14ac:dyDescent="0.25">
      <c r="A1237" s="20" t="s">
        <v>30</v>
      </c>
      <c r="B1237" s="21" t="s">
        <v>25</v>
      </c>
      <c r="C1237" s="21" t="s">
        <v>26</v>
      </c>
      <c r="D1237" s="21" t="s">
        <v>27</v>
      </c>
      <c r="E1237" s="22" t="s">
        <v>23</v>
      </c>
      <c r="F1237" s="20" t="s">
        <v>27</v>
      </c>
      <c r="G1237" s="20" t="s">
        <v>27</v>
      </c>
    </row>
    <row r="1238" ht="22" customHeight="1" spans="1:7" x14ac:dyDescent="0.25">
      <c r="A1238" s="16" t="s">
        <v>31</v>
      </c>
      <c r="B1238" s="17" t="s">
        <v>63</v>
      </c>
      <c r="C1238" s="17" t="s">
        <v>580</v>
      </c>
      <c r="D1238" s="17" t="s">
        <v>65</v>
      </c>
      <c r="E1238" s="18">
        <v>15.5</v>
      </c>
      <c r="F1238" s="19" t="s">
        <v>22</v>
      </c>
      <c r="G1238" s="16" t="s">
        <v>23</v>
      </c>
    </row>
    <row r="1239" ht="20" customHeight="1" spans="1:7" x14ac:dyDescent="0.25">
      <c r="A1239" s="20" t="s">
        <v>35</v>
      </c>
      <c r="B1239" s="21" t="s">
        <v>25</v>
      </c>
      <c r="C1239" s="21" t="s">
        <v>26</v>
      </c>
      <c r="D1239" s="21" t="s">
        <v>27</v>
      </c>
      <c r="E1239" s="22" t="s">
        <v>23</v>
      </c>
      <c r="F1239" s="20" t="s">
        <v>27</v>
      </c>
      <c r="G1239" s="20" t="s">
        <v>27</v>
      </c>
    </row>
    <row r="1240" ht="22" customHeight="1" spans="1:7" x14ac:dyDescent="0.25">
      <c r="A1240" s="16" t="s">
        <v>36</v>
      </c>
      <c r="B1240" s="17" t="s">
        <v>63</v>
      </c>
      <c r="C1240" s="17" t="s">
        <v>581</v>
      </c>
      <c r="D1240" s="17" t="s">
        <v>65</v>
      </c>
      <c r="E1240" s="18">
        <v>29.6</v>
      </c>
      <c r="F1240" s="19" t="s">
        <v>22</v>
      </c>
      <c r="G1240" s="16" t="s">
        <v>23</v>
      </c>
    </row>
    <row r="1241" ht="24" customHeight="1" spans="1:7" x14ac:dyDescent="0.25">
      <c r="A1241" s="23" t="s">
        <v>38</v>
      </c>
      <c r="B1241" s="23" t="s">
        <v>39</v>
      </c>
      <c r="C1241" s="24" t="s">
        <v>40</v>
      </c>
      <c r="D1241" s="24" t="s">
        <v>41</v>
      </c>
      <c r="E1241" s="25">
        <f>SUM(E1234,E1236,E1238,E1240)</f>
        <v>147</v>
      </c>
      <c r="F1241" s="23" t="str">
        <f>ROUND(E1241/60, 1) &amp; " Saat"</f>
        <v>2.5 Saat</v>
      </c>
      <c r="G1241" s="23" t="str">
        <f>COUNTIF(G1234:G1240, "X") &amp; "/4"</f>
        <v>0/4</v>
      </c>
    </row>
    <row r="1242" ht="22" customHeight="1" spans="1:7" x14ac:dyDescent="0.25">
      <c r="A1242" s="15" t="s">
        <v>67</v>
      </c>
      <c r="B1242" s="15"/>
      <c r="C1242" s="15"/>
      <c r="D1242" s="15"/>
      <c r="E1242" s="15"/>
      <c r="F1242" s="15"/>
      <c r="G1242" s="15"/>
    </row>
    <row r="1243" ht="22" customHeight="1" spans="1:7" x14ac:dyDescent="0.25">
      <c r="A1243" s="16" t="s">
        <v>18</v>
      </c>
      <c r="B1243" s="17" t="s">
        <v>68</v>
      </c>
      <c r="C1243" s="17" t="s">
        <v>582</v>
      </c>
      <c r="D1243" s="17" t="s">
        <v>70</v>
      </c>
      <c r="E1243" s="18">
        <v>56.8</v>
      </c>
      <c r="F1243" s="19" t="s">
        <v>22</v>
      </c>
      <c r="G1243" s="16" t="s">
        <v>23</v>
      </c>
    </row>
    <row r="1244" ht="20" customHeight="1" spans="1:7" x14ac:dyDescent="0.25">
      <c r="A1244" s="20" t="s">
        <v>24</v>
      </c>
      <c r="B1244" s="21" t="s">
        <v>25</v>
      </c>
      <c r="C1244" s="21" t="s">
        <v>26</v>
      </c>
      <c r="D1244" s="21" t="s">
        <v>27</v>
      </c>
      <c r="E1244" s="22" t="s">
        <v>23</v>
      </c>
      <c r="F1244" s="20" t="s">
        <v>27</v>
      </c>
      <c r="G1244" s="20" t="s">
        <v>27</v>
      </c>
    </row>
    <row r="1245" ht="22" customHeight="1" spans="1:7" x14ac:dyDescent="0.25">
      <c r="A1245" s="16" t="s">
        <v>28</v>
      </c>
      <c r="B1245" s="17" t="s">
        <v>68</v>
      </c>
      <c r="C1245" s="17" t="s">
        <v>583</v>
      </c>
      <c r="D1245" s="17" t="s">
        <v>70</v>
      </c>
      <c r="E1245" s="18">
        <v>37.4</v>
      </c>
      <c r="F1245" s="19" t="s">
        <v>22</v>
      </c>
      <c r="G1245" s="16" t="s">
        <v>23</v>
      </c>
    </row>
    <row r="1246" ht="20" customHeight="1" spans="1:7" x14ac:dyDescent="0.25">
      <c r="A1246" s="20" t="s">
        <v>30</v>
      </c>
      <c r="B1246" s="21" t="s">
        <v>25</v>
      </c>
      <c r="C1246" s="21" t="s">
        <v>26</v>
      </c>
      <c r="D1246" s="21" t="s">
        <v>27</v>
      </c>
      <c r="E1246" s="22" t="s">
        <v>23</v>
      </c>
      <c r="F1246" s="20" t="s">
        <v>27</v>
      </c>
      <c r="G1246" s="20" t="s">
        <v>27</v>
      </c>
    </row>
    <row r="1247" ht="22" customHeight="1" spans="1:7" x14ac:dyDescent="0.25">
      <c r="A1247" s="16" t="s">
        <v>31</v>
      </c>
      <c r="B1247" s="17" t="s">
        <v>449</v>
      </c>
      <c r="C1247" s="17" t="s">
        <v>584</v>
      </c>
      <c r="D1247" s="17" t="s">
        <v>34</v>
      </c>
      <c r="E1247" s="18">
        <v>45.5</v>
      </c>
      <c r="F1247" s="19" t="s">
        <v>22</v>
      </c>
      <c r="G1247" s="16" t="s">
        <v>23</v>
      </c>
    </row>
    <row r="1248" ht="20" customHeight="1" spans="1:7" x14ac:dyDescent="0.25">
      <c r="A1248" s="20" t="s">
        <v>35</v>
      </c>
      <c r="B1248" s="21" t="s">
        <v>25</v>
      </c>
      <c r="C1248" s="21" t="s">
        <v>26</v>
      </c>
      <c r="D1248" s="21" t="s">
        <v>27</v>
      </c>
      <c r="E1248" s="22" t="s">
        <v>23</v>
      </c>
      <c r="F1248" s="20" t="s">
        <v>27</v>
      </c>
      <c r="G1248" s="20" t="s">
        <v>27</v>
      </c>
    </row>
    <row r="1249" ht="22" customHeight="1" spans="1:7" x14ac:dyDescent="0.25">
      <c r="A1249" s="16" t="s">
        <v>36</v>
      </c>
      <c r="B1249" s="17" t="s">
        <v>449</v>
      </c>
      <c r="C1249" s="17" t="s">
        <v>585</v>
      </c>
      <c r="D1249" s="17" t="s">
        <v>34</v>
      </c>
      <c r="E1249" s="18">
        <v>40</v>
      </c>
      <c r="F1249" s="19" t="s">
        <v>22</v>
      </c>
      <c r="G1249" s="16" t="s">
        <v>23</v>
      </c>
    </row>
    <row r="1250" ht="24" customHeight="1" spans="1:7" x14ac:dyDescent="0.25">
      <c r="A1250" s="23" t="s">
        <v>38</v>
      </c>
      <c r="B1250" s="23" t="s">
        <v>39</v>
      </c>
      <c r="C1250" s="24" t="s">
        <v>40</v>
      </c>
      <c r="D1250" s="24" t="s">
        <v>41</v>
      </c>
      <c r="E1250" s="25">
        <f>SUM(E1243,E1245,E1247,E1249)</f>
        <v>179.7</v>
      </c>
      <c r="F1250" s="23" t="str">
        <f>ROUND(E1250/60, 1) &amp; " Saat"</f>
        <v>3.0 Saat</v>
      </c>
      <c r="G1250" s="23" t="str">
        <f>COUNTIF(G1243:G1249, "X") &amp; "/4"</f>
        <v>0/4</v>
      </c>
    </row>
    <row r="1251" ht="22" customHeight="1" spans="1:7" x14ac:dyDescent="0.25">
      <c r="A1251" s="15" t="s">
        <v>74</v>
      </c>
      <c r="B1251" s="15"/>
      <c r="C1251" s="15"/>
      <c r="D1251" s="15"/>
      <c r="E1251" s="15"/>
      <c r="F1251" s="15"/>
      <c r="G1251" s="15"/>
    </row>
    <row r="1252" ht="22" customHeight="1" spans="1:7" x14ac:dyDescent="0.25">
      <c r="A1252" s="16" t="s">
        <v>18</v>
      </c>
      <c r="B1252" s="17" t="s">
        <v>47</v>
      </c>
      <c r="C1252" s="17" t="s">
        <v>586</v>
      </c>
      <c r="D1252" s="17" t="s">
        <v>49</v>
      </c>
      <c r="E1252" s="18">
        <v>32.1</v>
      </c>
      <c r="F1252" s="19" t="s">
        <v>22</v>
      </c>
      <c r="G1252" s="16" t="s">
        <v>23</v>
      </c>
    </row>
    <row r="1253" ht="20" customHeight="1" spans="1:7" x14ac:dyDescent="0.25">
      <c r="A1253" s="20" t="s">
        <v>24</v>
      </c>
      <c r="B1253" s="21" t="s">
        <v>25</v>
      </c>
      <c r="C1253" s="21" t="s">
        <v>26</v>
      </c>
      <c r="D1253" s="21" t="s">
        <v>27</v>
      </c>
      <c r="E1253" s="22" t="s">
        <v>23</v>
      </c>
      <c r="F1253" s="20" t="s">
        <v>27</v>
      </c>
      <c r="G1253" s="20" t="s">
        <v>27</v>
      </c>
    </row>
    <row r="1254" ht="22" customHeight="1" spans="1:7" x14ac:dyDescent="0.25">
      <c r="A1254" s="16" t="s">
        <v>28</v>
      </c>
      <c r="B1254" s="17" t="s">
        <v>47</v>
      </c>
      <c r="C1254" s="17" t="s">
        <v>587</v>
      </c>
      <c r="D1254" s="17" t="s">
        <v>49</v>
      </c>
      <c r="E1254" s="18">
        <v>41.1</v>
      </c>
      <c r="F1254" s="19" t="s">
        <v>22</v>
      </c>
      <c r="G1254" s="16" t="s">
        <v>23</v>
      </c>
    </row>
    <row r="1255" ht="20" customHeight="1" spans="1:7" x14ac:dyDescent="0.25">
      <c r="A1255" s="20" t="s">
        <v>30</v>
      </c>
      <c r="B1255" s="21" t="s">
        <v>25</v>
      </c>
      <c r="C1255" s="21" t="s">
        <v>26</v>
      </c>
      <c r="D1255" s="21" t="s">
        <v>27</v>
      </c>
      <c r="E1255" s="22" t="s">
        <v>23</v>
      </c>
      <c r="F1255" s="20" t="s">
        <v>27</v>
      </c>
      <c r="G1255" s="20" t="s">
        <v>27</v>
      </c>
    </row>
    <row r="1256" ht="22" customHeight="1" spans="1:7" x14ac:dyDescent="0.25">
      <c r="A1256" s="16" t="s">
        <v>31</v>
      </c>
      <c r="B1256" s="17" t="s">
        <v>568</v>
      </c>
      <c r="C1256" s="17" t="s">
        <v>467</v>
      </c>
      <c r="D1256" s="17" t="s">
        <v>23</v>
      </c>
      <c r="E1256" s="18">
        <v>40</v>
      </c>
      <c r="F1256" s="16" t="s">
        <v>27</v>
      </c>
      <c r="G1256" s="16" t="s">
        <v>23</v>
      </c>
    </row>
    <row r="1257" ht="20" customHeight="1" spans="1:7" x14ac:dyDescent="0.25">
      <c r="A1257" s="20" t="s">
        <v>35</v>
      </c>
      <c r="B1257" s="21" t="s">
        <v>25</v>
      </c>
      <c r="C1257" s="21" t="s">
        <v>26</v>
      </c>
      <c r="D1257" s="21" t="s">
        <v>27</v>
      </c>
      <c r="E1257" s="22" t="s">
        <v>23</v>
      </c>
      <c r="F1257" s="20" t="s">
        <v>27</v>
      </c>
      <c r="G1257" s="20" t="s">
        <v>27</v>
      </c>
    </row>
    <row r="1258" ht="22" customHeight="1" spans="1:7" x14ac:dyDescent="0.25">
      <c r="A1258" s="16" t="s">
        <v>36</v>
      </c>
      <c r="B1258" s="17" t="s">
        <v>568</v>
      </c>
      <c r="C1258" s="17" t="s">
        <v>467</v>
      </c>
      <c r="D1258" s="17" t="s">
        <v>23</v>
      </c>
      <c r="E1258" s="18">
        <v>40</v>
      </c>
      <c r="F1258" s="16" t="s">
        <v>27</v>
      </c>
      <c r="G1258" s="16" t="s">
        <v>23</v>
      </c>
    </row>
    <row r="1259" ht="24" customHeight="1" spans="1:7" x14ac:dyDescent="0.25">
      <c r="A1259" s="23" t="s">
        <v>38</v>
      </c>
      <c r="B1259" s="23" t="s">
        <v>39</v>
      </c>
      <c r="C1259" s="24" t="s">
        <v>40</v>
      </c>
      <c r="D1259" s="24" t="s">
        <v>41</v>
      </c>
      <c r="E1259" s="25">
        <f>SUM(E1252,E1254,E1256,E1258)</f>
        <v>153.2</v>
      </c>
      <c r="F1259" s="23" t="str">
        <f>ROUND(E1259/60, 1) &amp; " Saat"</f>
        <v>2.6 Saat</v>
      </c>
      <c r="G1259" s="23" t="str">
        <f>COUNTIF(G1252:G1258, "X") &amp; "/4"</f>
        <v>0/4</v>
      </c>
    </row>
    <row r="1260" ht="28" customHeight="1" spans="1:7" x14ac:dyDescent="0.25">
      <c r="A1260" s="26" t="s">
        <v>79</v>
      </c>
      <c r="B1260" s="26"/>
      <c r="C1260" s="26"/>
      <c r="D1260" s="26"/>
      <c r="E1260" s="26"/>
      <c r="F1260" s="26"/>
      <c r="G1260" s="26"/>
    </row>
    <row r="1261" ht="8" customHeight="1" x14ac:dyDescent="0.25"/>
    <row r="1262" ht="25" customHeight="1" spans="1:7" x14ac:dyDescent="0.25">
      <c r="A1262" s="14" t="s">
        <v>588</v>
      </c>
      <c r="B1262" s="14"/>
      <c r="C1262" s="14"/>
      <c r="D1262" s="14"/>
      <c r="E1262" s="14"/>
      <c r="F1262" s="14"/>
      <c r="G1262" s="14"/>
    </row>
    <row r="1263" ht="22" customHeight="1" spans="1:7" x14ac:dyDescent="0.25">
      <c r="A1263" s="15" t="s">
        <v>17</v>
      </c>
      <c r="B1263" s="15"/>
      <c r="C1263" s="15"/>
      <c r="D1263" s="15"/>
      <c r="E1263" s="15"/>
      <c r="F1263" s="15"/>
      <c r="G1263" s="15"/>
    </row>
    <row r="1264" ht="22" customHeight="1" spans="1:7" x14ac:dyDescent="0.25">
      <c r="A1264" s="16" t="s">
        <v>18</v>
      </c>
      <c r="B1264" s="17" t="s">
        <v>19</v>
      </c>
      <c r="C1264" s="17" t="s">
        <v>589</v>
      </c>
      <c r="D1264" s="17" t="s">
        <v>21</v>
      </c>
      <c r="E1264" s="18">
        <v>8.2</v>
      </c>
      <c r="F1264" s="19" t="s">
        <v>22</v>
      </c>
      <c r="G1264" s="16" t="s">
        <v>23</v>
      </c>
    </row>
    <row r="1265" ht="20" customHeight="1" spans="1:7" x14ac:dyDescent="0.25">
      <c r="A1265" s="20" t="s">
        <v>24</v>
      </c>
      <c r="B1265" s="21" t="s">
        <v>25</v>
      </c>
      <c r="C1265" s="21" t="s">
        <v>26</v>
      </c>
      <c r="D1265" s="21" t="s">
        <v>27</v>
      </c>
      <c r="E1265" s="22" t="s">
        <v>23</v>
      </c>
      <c r="F1265" s="20" t="s">
        <v>27</v>
      </c>
      <c r="G1265" s="20" t="s">
        <v>27</v>
      </c>
    </row>
    <row r="1266" ht="22" customHeight="1" spans="1:7" x14ac:dyDescent="0.25">
      <c r="A1266" s="16" t="s">
        <v>28</v>
      </c>
      <c r="B1266" s="17" t="s">
        <v>19</v>
      </c>
      <c r="C1266" s="17" t="s">
        <v>590</v>
      </c>
      <c r="D1266" s="17" t="s">
        <v>21</v>
      </c>
      <c r="E1266" s="18">
        <v>12.1</v>
      </c>
      <c r="F1266" s="19" t="s">
        <v>22</v>
      </c>
      <c r="G1266" s="16" t="s">
        <v>23</v>
      </c>
    </row>
    <row r="1267" ht="20" customHeight="1" spans="1:7" x14ac:dyDescent="0.25">
      <c r="A1267" s="20" t="s">
        <v>30</v>
      </c>
      <c r="B1267" s="21" t="s">
        <v>25</v>
      </c>
      <c r="C1267" s="21" t="s">
        <v>26</v>
      </c>
      <c r="D1267" s="21" t="s">
        <v>27</v>
      </c>
      <c r="E1267" s="22" t="s">
        <v>23</v>
      </c>
      <c r="F1267" s="20" t="s">
        <v>27</v>
      </c>
      <c r="G1267" s="20" t="s">
        <v>27</v>
      </c>
    </row>
    <row r="1268" ht="22" customHeight="1" spans="1:7" x14ac:dyDescent="0.25">
      <c r="A1268" s="16" t="s">
        <v>31</v>
      </c>
      <c r="B1268" s="17" t="s">
        <v>32</v>
      </c>
      <c r="C1268" s="17" t="s">
        <v>591</v>
      </c>
      <c r="D1268" s="17" t="s">
        <v>34</v>
      </c>
      <c r="E1268" s="18">
        <v>39.3</v>
      </c>
      <c r="F1268" s="19" t="s">
        <v>22</v>
      </c>
      <c r="G1268" s="16" t="s">
        <v>23</v>
      </c>
    </row>
    <row r="1269" ht="20" customHeight="1" spans="1:7" x14ac:dyDescent="0.25">
      <c r="A1269" s="20" t="s">
        <v>35</v>
      </c>
      <c r="B1269" s="21" t="s">
        <v>25</v>
      </c>
      <c r="C1269" s="21" t="s">
        <v>26</v>
      </c>
      <c r="D1269" s="21" t="s">
        <v>27</v>
      </c>
      <c r="E1269" s="22" t="s">
        <v>23</v>
      </c>
      <c r="F1269" s="20" t="s">
        <v>27</v>
      </c>
      <c r="G1269" s="20" t="s">
        <v>27</v>
      </c>
    </row>
    <row r="1270" ht="22" customHeight="1" spans="1:7" x14ac:dyDescent="0.25">
      <c r="A1270" s="16" t="s">
        <v>36</v>
      </c>
      <c r="B1270" s="17" t="s">
        <v>32</v>
      </c>
      <c r="C1270" s="17" t="s">
        <v>592</v>
      </c>
      <c r="D1270" s="17" t="s">
        <v>34</v>
      </c>
      <c r="E1270" s="18">
        <v>48.3</v>
      </c>
      <c r="F1270" s="19" t="s">
        <v>22</v>
      </c>
      <c r="G1270" s="16" t="s">
        <v>23</v>
      </c>
    </row>
    <row r="1271" ht="24" customHeight="1" spans="1:7" x14ac:dyDescent="0.25">
      <c r="A1271" s="23" t="s">
        <v>38</v>
      </c>
      <c r="B1271" s="23" t="s">
        <v>39</v>
      </c>
      <c r="C1271" s="24" t="s">
        <v>40</v>
      </c>
      <c r="D1271" s="24" t="s">
        <v>41</v>
      </c>
      <c r="E1271" s="25">
        <f>SUM(E1264,E1266,E1268,E1270)</f>
        <v>107.9</v>
      </c>
      <c r="F1271" s="23" t="str">
        <f>ROUND(E1271/60, 1) &amp; " Saat"</f>
        <v>1.8 Saat</v>
      </c>
      <c r="G1271" s="23" t="str">
        <f>COUNTIF(G1264:G1270, "X") &amp; "/4"</f>
        <v>0/4</v>
      </c>
    </row>
    <row r="1272" ht="22" customHeight="1" spans="1:7" x14ac:dyDescent="0.25">
      <c r="A1272" s="15" t="s">
        <v>42</v>
      </c>
      <c r="B1272" s="15"/>
      <c r="C1272" s="15"/>
      <c r="D1272" s="15"/>
      <c r="E1272" s="15"/>
      <c r="F1272" s="15"/>
      <c r="G1272" s="15"/>
    </row>
    <row r="1273" ht="22" customHeight="1" spans="1:7" x14ac:dyDescent="0.25">
      <c r="A1273" s="16" t="s">
        <v>18</v>
      </c>
      <c r="B1273" s="17" t="s">
        <v>43</v>
      </c>
      <c r="C1273" s="17" t="s">
        <v>593</v>
      </c>
      <c r="D1273" s="17" t="s">
        <v>45</v>
      </c>
      <c r="E1273" s="18">
        <v>35.3</v>
      </c>
      <c r="F1273" s="19" t="s">
        <v>22</v>
      </c>
      <c r="G1273" s="16" t="s">
        <v>23</v>
      </c>
    </row>
    <row r="1274" ht="20" customHeight="1" spans="1:7" x14ac:dyDescent="0.25">
      <c r="A1274" s="20" t="s">
        <v>24</v>
      </c>
      <c r="B1274" s="21" t="s">
        <v>25</v>
      </c>
      <c r="C1274" s="21" t="s">
        <v>26</v>
      </c>
      <c r="D1274" s="21" t="s">
        <v>27</v>
      </c>
      <c r="E1274" s="22" t="s">
        <v>23</v>
      </c>
      <c r="F1274" s="20" t="s">
        <v>27</v>
      </c>
      <c r="G1274" s="20" t="s">
        <v>27</v>
      </c>
    </row>
    <row r="1275" ht="22" customHeight="1" spans="1:7" x14ac:dyDescent="0.25">
      <c r="A1275" s="16" t="s">
        <v>28</v>
      </c>
      <c r="B1275" s="17" t="s">
        <v>43</v>
      </c>
      <c r="C1275" s="17" t="s">
        <v>594</v>
      </c>
      <c r="D1275" s="17" t="s">
        <v>45</v>
      </c>
      <c r="E1275" s="18">
        <v>23.1</v>
      </c>
      <c r="F1275" s="19" t="s">
        <v>22</v>
      </c>
      <c r="G1275" s="16" t="s">
        <v>23</v>
      </c>
    </row>
    <row r="1276" ht="20" customHeight="1" spans="1:7" x14ac:dyDescent="0.25">
      <c r="A1276" s="20" t="s">
        <v>30</v>
      </c>
      <c r="B1276" s="21" t="s">
        <v>25</v>
      </c>
      <c r="C1276" s="21" t="s">
        <v>26</v>
      </c>
      <c r="D1276" s="21" t="s">
        <v>27</v>
      </c>
      <c r="E1276" s="22" t="s">
        <v>23</v>
      </c>
      <c r="F1276" s="20" t="s">
        <v>27</v>
      </c>
      <c r="G1276" s="20" t="s">
        <v>27</v>
      </c>
    </row>
    <row r="1277" ht="22" customHeight="1" spans="1:7" x14ac:dyDescent="0.25">
      <c r="A1277" s="16" t="s">
        <v>31</v>
      </c>
      <c r="B1277" s="17" t="s">
        <v>47</v>
      </c>
      <c r="C1277" s="17" t="s">
        <v>595</v>
      </c>
      <c r="D1277" s="17" t="s">
        <v>49</v>
      </c>
      <c r="E1277" s="18">
        <v>25.2</v>
      </c>
      <c r="F1277" s="19" t="s">
        <v>22</v>
      </c>
      <c r="G1277" s="16" t="s">
        <v>23</v>
      </c>
    </row>
    <row r="1278" ht="20" customHeight="1" spans="1:7" x14ac:dyDescent="0.25">
      <c r="A1278" s="20" t="s">
        <v>35</v>
      </c>
      <c r="B1278" s="21" t="s">
        <v>25</v>
      </c>
      <c r="C1278" s="21" t="s">
        <v>26</v>
      </c>
      <c r="D1278" s="21" t="s">
        <v>27</v>
      </c>
      <c r="E1278" s="22" t="s">
        <v>23</v>
      </c>
      <c r="F1278" s="20" t="s">
        <v>27</v>
      </c>
      <c r="G1278" s="20" t="s">
        <v>27</v>
      </c>
    </row>
    <row r="1279" ht="22" customHeight="1" spans="1:7" x14ac:dyDescent="0.25">
      <c r="A1279" s="16" t="s">
        <v>36</v>
      </c>
      <c r="B1279" s="17" t="s">
        <v>47</v>
      </c>
      <c r="C1279" s="17" t="s">
        <v>596</v>
      </c>
      <c r="D1279" s="17" t="s">
        <v>49</v>
      </c>
      <c r="E1279" s="18">
        <v>24.3</v>
      </c>
      <c r="F1279" s="19" t="s">
        <v>22</v>
      </c>
      <c r="G1279" s="16" t="s">
        <v>23</v>
      </c>
    </row>
    <row r="1280" ht="24" customHeight="1" spans="1:7" x14ac:dyDescent="0.25">
      <c r="A1280" s="23" t="s">
        <v>38</v>
      </c>
      <c r="B1280" s="23" t="s">
        <v>39</v>
      </c>
      <c r="C1280" s="24" t="s">
        <v>40</v>
      </c>
      <c r="D1280" s="24" t="s">
        <v>41</v>
      </c>
      <c r="E1280" s="25">
        <f>SUM(E1273,E1275,E1277,E1279)</f>
        <v>107.9</v>
      </c>
      <c r="F1280" s="23" t="str">
        <f>ROUND(E1280/60, 1) &amp; " Saat"</f>
        <v>1.8 Saat</v>
      </c>
      <c r="G1280" s="23" t="str">
        <f>COUNTIF(G1273:G1279, "X") &amp; "/4"</f>
        <v>0/4</v>
      </c>
    </row>
    <row r="1281" ht="22" customHeight="1" spans="1:7" x14ac:dyDescent="0.25">
      <c r="A1281" s="15" t="s">
        <v>51</v>
      </c>
      <c r="B1281" s="15"/>
      <c r="C1281" s="15"/>
      <c r="D1281" s="15"/>
      <c r="E1281" s="15"/>
      <c r="F1281" s="15"/>
      <c r="G1281" s="15"/>
    </row>
    <row r="1282" ht="22" customHeight="1" spans="1:7" x14ac:dyDescent="0.25">
      <c r="A1282" s="16" t="s">
        <v>18</v>
      </c>
      <c r="B1282" s="17" t="s">
        <v>52</v>
      </c>
      <c r="C1282" s="17" t="s">
        <v>467</v>
      </c>
      <c r="D1282" s="17" t="s">
        <v>23</v>
      </c>
      <c r="E1282" s="18">
        <v>40</v>
      </c>
      <c r="F1282" s="16" t="s">
        <v>27</v>
      </c>
      <c r="G1282" s="16" t="s">
        <v>23</v>
      </c>
    </row>
    <row r="1283" ht="20" customHeight="1" spans="1:7" x14ac:dyDescent="0.25">
      <c r="A1283" s="20" t="s">
        <v>24</v>
      </c>
      <c r="B1283" s="21" t="s">
        <v>25</v>
      </c>
      <c r="C1283" s="21" t="s">
        <v>26</v>
      </c>
      <c r="D1283" s="21" t="s">
        <v>27</v>
      </c>
      <c r="E1283" s="22" t="s">
        <v>23</v>
      </c>
      <c r="F1283" s="20" t="s">
        <v>27</v>
      </c>
      <c r="G1283" s="20" t="s">
        <v>27</v>
      </c>
    </row>
    <row r="1284" ht="22" customHeight="1" spans="1:7" x14ac:dyDescent="0.25">
      <c r="A1284" s="16" t="s">
        <v>28</v>
      </c>
      <c r="B1284" s="17" t="s">
        <v>52</v>
      </c>
      <c r="C1284" s="17" t="s">
        <v>467</v>
      </c>
      <c r="D1284" s="17" t="s">
        <v>23</v>
      </c>
      <c r="E1284" s="18">
        <v>40</v>
      </c>
      <c r="F1284" s="16" t="s">
        <v>27</v>
      </c>
      <c r="G1284" s="16" t="s">
        <v>23</v>
      </c>
    </row>
    <row r="1285" ht="20" customHeight="1" spans="1:7" x14ac:dyDescent="0.25">
      <c r="A1285" s="20" t="s">
        <v>30</v>
      </c>
      <c r="B1285" s="21" t="s">
        <v>25</v>
      </c>
      <c r="C1285" s="21" t="s">
        <v>26</v>
      </c>
      <c r="D1285" s="21" t="s">
        <v>27</v>
      </c>
      <c r="E1285" s="22" t="s">
        <v>23</v>
      </c>
      <c r="F1285" s="20" t="s">
        <v>27</v>
      </c>
      <c r="G1285" s="20" t="s">
        <v>27</v>
      </c>
    </row>
    <row r="1286" ht="22" customHeight="1" spans="1:7" x14ac:dyDescent="0.25">
      <c r="A1286" s="16" t="s">
        <v>31</v>
      </c>
      <c r="B1286" s="17" t="s">
        <v>56</v>
      </c>
      <c r="C1286" s="17" t="s">
        <v>467</v>
      </c>
      <c r="D1286" s="17" t="s">
        <v>23</v>
      </c>
      <c r="E1286" s="18">
        <v>40</v>
      </c>
      <c r="F1286" s="16" t="s">
        <v>27</v>
      </c>
      <c r="G1286" s="16" t="s">
        <v>23</v>
      </c>
    </row>
    <row r="1287" ht="20" customHeight="1" spans="1:7" x14ac:dyDescent="0.25">
      <c r="A1287" s="20" t="s">
        <v>35</v>
      </c>
      <c r="B1287" s="21" t="s">
        <v>25</v>
      </c>
      <c r="C1287" s="21" t="s">
        <v>26</v>
      </c>
      <c r="D1287" s="21" t="s">
        <v>27</v>
      </c>
      <c r="E1287" s="22" t="s">
        <v>23</v>
      </c>
      <c r="F1287" s="20" t="s">
        <v>27</v>
      </c>
      <c r="G1287" s="20" t="s">
        <v>27</v>
      </c>
    </row>
    <row r="1288" ht="22" customHeight="1" spans="1:7" x14ac:dyDescent="0.25">
      <c r="A1288" s="16" t="s">
        <v>36</v>
      </c>
      <c r="B1288" s="17" t="s">
        <v>56</v>
      </c>
      <c r="C1288" s="17" t="s">
        <v>467</v>
      </c>
      <c r="D1288" s="17" t="s">
        <v>23</v>
      </c>
      <c r="E1288" s="18">
        <v>40</v>
      </c>
      <c r="F1288" s="16" t="s">
        <v>27</v>
      </c>
      <c r="G1288" s="16" t="s">
        <v>23</v>
      </c>
    </row>
    <row r="1289" ht="24" customHeight="1" spans="1:7" x14ac:dyDescent="0.25">
      <c r="A1289" s="23" t="s">
        <v>38</v>
      </c>
      <c r="B1289" s="23" t="s">
        <v>39</v>
      </c>
      <c r="C1289" s="24" t="s">
        <v>40</v>
      </c>
      <c r="D1289" s="24" t="s">
        <v>41</v>
      </c>
      <c r="E1289" s="25">
        <f>SUM(E1282,E1284,E1286,E1288)</f>
        <v>160</v>
      </c>
      <c r="F1289" s="23" t="str">
        <f>ROUND(E1289/60, 1) &amp; " Saat"</f>
        <v>2.7 Saat</v>
      </c>
      <c r="G1289" s="23" t="str">
        <f>COUNTIF(G1282:G1288, "X") &amp; "/4"</f>
        <v>0/4</v>
      </c>
    </row>
    <row r="1290" ht="22" customHeight="1" spans="1:7" x14ac:dyDescent="0.25">
      <c r="A1290" s="15" t="s">
        <v>60</v>
      </c>
      <c r="B1290" s="15"/>
      <c r="C1290" s="15"/>
      <c r="D1290" s="15"/>
      <c r="E1290" s="15"/>
      <c r="F1290" s="15"/>
      <c r="G1290" s="15"/>
    </row>
    <row r="1291" ht="22" customHeight="1" spans="1:7" x14ac:dyDescent="0.25">
      <c r="A1291" s="16" t="s">
        <v>18</v>
      </c>
      <c r="B1291" s="17" t="s">
        <v>43</v>
      </c>
      <c r="C1291" s="17" t="s">
        <v>597</v>
      </c>
      <c r="D1291" s="17" t="s">
        <v>45</v>
      </c>
      <c r="E1291" s="18">
        <v>28.1</v>
      </c>
      <c r="F1291" s="19" t="s">
        <v>22</v>
      </c>
      <c r="G1291" s="16" t="s">
        <v>23</v>
      </c>
    </row>
    <row r="1292" ht="20" customHeight="1" spans="1:7" x14ac:dyDescent="0.25">
      <c r="A1292" s="20" t="s">
        <v>24</v>
      </c>
      <c r="B1292" s="21" t="s">
        <v>25</v>
      </c>
      <c r="C1292" s="21" t="s">
        <v>26</v>
      </c>
      <c r="D1292" s="21" t="s">
        <v>27</v>
      </c>
      <c r="E1292" s="22" t="s">
        <v>23</v>
      </c>
      <c r="F1292" s="20" t="s">
        <v>27</v>
      </c>
      <c r="G1292" s="20" t="s">
        <v>27</v>
      </c>
    </row>
    <row r="1293" ht="22" customHeight="1" spans="1:7" x14ac:dyDescent="0.25">
      <c r="A1293" s="16" t="s">
        <v>28</v>
      </c>
      <c r="B1293" s="17" t="s">
        <v>43</v>
      </c>
      <c r="C1293" s="17" t="s">
        <v>598</v>
      </c>
      <c r="D1293" s="17" t="s">
        <v>45</v>
      </c>
      <c r="E1293" s="18">
        <v>34</v>
      </c>
      <c r="F1293" s="19" t="s">
        <v>22</v>
      </c>
      <c r="G1293" s="16" t="s">
        <v>23</v>
      </c>
    </row>
    <row r="1294" ht="20" customHeight="1" spans="1:7" x14ac:dyDescent="0.25">
      <c r="A1294" s="20" t="s">
        <v>30</v>
      </c>
      <c r="B1294" s="21" t="s">
        <v>25</v>
      </c>
      <c r="C1294" s="21" t="s">
        <v>26</v>
      </c>
      <c r="D1294" s="21" t="s">
        <v>27</v>
      </c>
      <c r="E1294" s="22" t="s">
        <v>23</v>
      </c>
      <c r="F1294" s="20" t="s">
        <v>27</v>
      </c>
      <c r="G1294" s="20" t="s">
        <v>27</v>
      </c>
    </row>
    <row r="1295" ht="22" customHeight="1" spans="1:7" x14ac:dyDescent="0.25">
      <c r="A1295" s="16" t="s">
        <v>31</v>
      </c>
      <c r="B1295" s="17" t="s">
        <v>63</v>
      </c>
      <c r="C1295" s="17" t="s">
        <v>599</v>
      </c>
      <c r="D1295" s="17" t="s">
        <v>65</v>
      </c>
      <c r="E1295" s="18">
        <v>43</v>
      </c>
      <c r="F1295" s="19" t="s">
        <v>22</v>
      </c>
      <c r="G1295" s="16" t="s">
        <v>23</v>
      </c>
    </row>
    <row r="1296" ht="20" customHeight="1" spans="1:7" x14ac:dyDescent="0.25">
      <c r="A1296" s="20" t="s">
        <v>35</v>
      </c>
      <c r="B1296" s="21" t="s">
        <v>25</v>
      </c>
      <c r="C1296" s="21" t="s">
        <v>26</v>
      </c>
      <c r="D1296" s="21" t="s">
        <v>27</v>
      </c>
      <c r="E1296" s="22" t="s">
        <v>23</v>
      </c>
      <c r="F1296" s="20" t="s">
        <v>27</v>
      </c>
      <c r="G1296" s="20" t="s">
        <v>27</v>
      </c>
    </row>
    <row r="1297" ht="22" customHeight="1" spans="1:7" x14ac:dyDescent="0.25">
      <c r="A1297" s="16" t="s">
        <v>36</v>
      </c>
      <c r="B1297" s="17" t="s">
        <v>63</v>
      </c>
      <c r="C1297" s="17" t="s">
        <v>600</v>
      </c>
      <c r="D1297" s="17" t="s">
        <v>65</v>
      </c>
      <c r="E1297" s="18">
        <v>16</v>
      </c>
      <c r="F1297" s="19" t="s">
        <v>22</v>
      </c>
      <c r="G1297" s="16" t="s">
        <v>23</v>
      </c>
    </row>
    <row r="1298" ht="24" customHeight="1" spans="1:7" x14ac:dyDescent="0.25">
      <c r="A1298" s="23" t="s">
        <v>38</v>
      </c>
      <c r="B1298" s="23" t="s">
        <v>39</v>
      </c>
      <c r="C1298" s="24" t="s">
        <v>40</v>
      </c>
      <c r="D1298" s="24" t="s">
        <v>41</v>
      </c>
      <c r="E1298" s="25">
        <f>SUM(E1291,E1293,E1295,E1297)</f>
        <v>121.1</v>
      </c>
      <c r="F1298" s="23" t="str">
        <f>ROUND(E1298/60, 1) &amp; " Saat"</f>
        <v>2.0 Saat</v>
      </c>
      <c r="G1298" s="23" t="str">
        <f>COUNTIF(G1291:G1297, "X") &amp; "/4"</f>
        <v>0/4</v>
      </c>
    </row>
    <row r="1299" ht="22" customHeight="1" spans="1:7" x14ac:dyDescent="0.25">
      <c r="A1299" s="15" t="s">
        <v>67</v>
      </c>
      <c r="B1299" s="15"/>
      <c r="C1299" s="15"/>
      <c r="D1299" s="15"/>
      <c r="E1299" s="15"/>
      <c r="F1299" s="15"/>
      <c r="G1299" s="15"/>
    </row>
    <row r="1300" ht="22" customHeight="1" spans="1:7" x14ac:dyDescent="0.25">
      <c r="A1300" s="16" t="s">
        <v>18</v>
      </c>
      <c r="B1300" s="17" t="s">
        <v>68</v>
      </c>
      <c r="C1300" s="17" t="s">
        <v>601</v>
      </c>
      <c r="D1300" s="17" t="s">
        <v>70</v>
      </c>
      <c r="E1300" s="18">
        <v>40.7</v>
      </c>
      <c r="F1300" s="19" t="s">
        <v>22</v>
      </c>
      <c r="G1300" s="16" t="s">
        <v>23</v>
      </c>
    </row>
    <row r="1301" ht="20" customHeight="1" spans="1:7" x14ac:dyDescent="0.25">
      <c r="A1301" s="20" t="s">
        <v>24</v>
      </c>
      <c r="B1301" s="21" t="s">
        <v>25</v>
      </c>
      <c r="C1301" s="21" t="s">
        <v>26</v>
      </c>
      <c r="D1301" s="21" t="s">
        <v>27</v>
      </c>
      <c r="E1301" s="22" t="s">
        <v>23</v>
      </c>
      <c r="F1301" s="20" t="s">
        <v>27</v>
      </c>
      <c r="G1301" s="20" t="s">
        <v>27</v>
      </c>
    </row>
    <row r="1302" ht="22" customHeight="1" spans="1:7" x14ac:dyDescent="0.25">
      <c r="A1302" s="16" t="s">
        <v>28</v>
      </c>
      <c r="B1302" s="17" t="s">
        <v>68</v>
      </c>
      <c r="C1302" s="17" t="s">
        <v>602</v>
      </c>
      <c r="D1302" s="17" t="s">
        <v>70</v>
      </c>
      <c r="E1302" s="18">
        <v>50.2</v>
      </c>
      <c r="F1302" s="19" t="s">
        <v>22</v>
      </c>
      <c r="G1302" s="16" t="s">
        <v>23</v>
      </c>
    </row>
    <row r="1303" ht="20" customHeight="1" spans="1:7" x14ac:dyDescent="0.25">
      <c r="A1303" s="20" t="s">
        <v>30</v>
      </c>
      <c r="B1303" s="21" t="s">
        <v>25</v>
      </c>
      <c r="C1303" s="21" t="s">
        <v>26</v>
      </c>
      <c r="D1303" s="21" t="s">
        <v>27</v>
      </c>
      <c r="E1303" s="22" t="s">
        <v>23</v>
      </c>
      <c r="F1303" s="20" t="s">
        <v>27</v>
      </c>
      <c r="G1303" s="20" t="s">
        <v>27</v>
      </c>
    </row>
    <row r="1304" ht="22" customHeight="1" spans="1:7" x14ac:dyDescent="0.25">
      <c r="A1304" s="16" t="s">
        <v>31</v>
      </c>
      <c r="B1304" s="17" t="s">
        <v>449</v>
      </c>
      <c r="C1304" s="17" t="s">
        <v>603</v>
      </c>
      <c r="D1304" s="17" t="s">
        <v>34</v>
      </c>
      <c r="E1304" s="18">
        <v>44.6</v>
      </c>
      <c r="F1304" s="19" t="s">
        <v>22</v>
      </c>
      <c r="G1304" s="16" t="s">
        <v>23</v>
      </c>
    </row>
    <row r="1305" ht="20" customHeight="1" spans="1:7" x14ac:dyDescent="0.25">
      <c r="A1305" s="20" t="s">
        <v>35</v>
      </c>
      <c r="B1305" s="21" t="s">
        <v>25</v>
      </c>
      <c r="C1305" s="21" t="s">
        <v>26</v>
      </c>
      <c r="D1305" s="21" t="s">
        <v>27</v>
      </c>
      <c r="E1305" s="22" t="s">
        <v>23</v>
      </c>
      <c r="F1305" s="20" t="s">
        <v>27</v>
      </c>
      <c r="G1305" s="20" t="s">
        <v>27</v>
      </c>
    </row>
    <row r="1306" ht="22" customHeight="1" spans="1:7" x14ac:dyDescent="0.25">
      <c r="A1306" s="16" t="s">
        <v>36</v>
      </c>
      <c r="B1306" s="17" t="s">
        <v>449</v>
      </c>
      <c r="C1306" s="17" t="s">
        <v>604</v>
      </c>
      <c r="D1306" s="17" t="s">
        <v>34</v>
      </c>
      <c r="E1306" s="18">
        <v>48</v>
      </c>
      <c r="F1306" s="19" t="s">
        <v>22</v>
      </c>
      <c r="G1306" s="16" t="s">
        <v>23</v>
      </c>
    </row>
    <row r="1307" ht="24" customHeight="1" spans="1:7" x14ac:dyDescent="0.25">
      <c r="A1307" s="23" t="s">
        <v>38</v>
      </c>
      <c r="B1307" s="23" t="s">
        <v>39</v>
      </c>
      <c r="C1307" s="24" t="s">
        <v>40</v>
      </c>
      <c r="D1307" s="24" t="s">
        <v>41</v>
      </c>
      <c r="E1307" s="25">
        <f>SUM(E1300,E1302,E1304,E1306)</f>
        <v>183.5</v>
      </c>
      <c r="F1307" s="23" t="str">
        <f>ROUND(E1307/60, 1) &amp; " Saat"</f>
        <v>3.1 Saat</v>
      </c>
      <c r="G1307" s="23" t="str">
        <f>COUNTIF(G1300:G1306, "X") &amp; "/4"</f>
        <v>0/4</v>
      </c>
    </row>
    <row r="1308" ht="22" customHeight="1" spans="1:7" x14ac:dyDescent="0.25">
      <c r="A1308" s="15" t="s">
        <v>74</v>
      </c>
      <c r="B1308" s="15"/>
      <c r="C1308" s="15"/>
      <c r="D1308" s="15"/>
      <c r="E1308" s="15"/>
      <c r="F1308" s="15"/>
      <c r="G1308" s="15"/>
    </row>
    <row r="1309" ht="22" customHeight="1" spans="1:7" x14ac:dyDescent="0.25">
      <c r="A1309" s="16" t="s">
        <v>18</v>
      </c>
      <c r="B1309" s="17" t="s">
        <v>47</v>
      </c>
      <c r="C1309" s="17" t="s">
        <v>605</v>
      </c>
      <c r="D1309" s="17" t="s">
        <v>49</v>
      </c>
      <c r="E1309" s="18">
        <v>29</v>
      </c>
      <c r="F1309" s="19" t="s">
        <v>22</v>
      </c>
      <c r="G1309" s="16" t="s">
        <v>23</v>
      </c>
    </row>
    <row r="1310" ht="20" customHeight="1" spans="1:7" x14ac:dyDescent="0.25">
      <c r="A1310" s="20" t="s">
        <v>24</v>
      </c>
      <c r="B1310" s="21" t="s">
        <v>25</v>
      </c>
      <c r="C1310" s="21" t="s">
        <v>26</v>
      </c>
      <c r="D1310" s="21" t="s">
        <v>27</v>
      </c>
      <c r="E1310" s="22" t="s">
        <v>23</v>
      </c>
      <c r="F1310" s="20" t="s">
        <v>27</v>
      </c>
      <c r="G1310" s="20" t="s">
        <v>27</v>
      </c>
    </row>
    <row r="1311" ht="22" customHeight="1" spans="1:7" x14ac:dyDescent="0.25">
      <c r="A1311" s="16" t="s">
        <v>28</v>
      </c>
      <c r="B1311" s="17" t="s">
        <v>47</v>
      </c>
      <c r="C1311" s="17" t="s">
        <v>606</v>
      </c>
      <c r="D1311" s="17" t="s">
        <v>49</v>
      </c>
      <c r="E1311" s="18">
        <v>47.6</v>
      </c>
      <c r="F1311" s="19" t="s">
        <v>22</v>
      </c>
      <c r="G1311" s="16" t="s">
        <v>23</v>
      </c>
    </row>
    <row r="1312" ht="20" customHeight="1" spans="1:7" x14ac:dyDescent="0.25">
      <c r="A1312" s="20" t="s">
        <v>30</v>
      </c>
      <c r="B1312" s="21" t="s">
        <v>25</v>
      </c>
      <c r="C1312" s="21" t="s">
        <v>26</v>
      </c>
      <c r="D1312" s="21" t="s">
        <v>27</v>
      </c>
      <c r="E1312" s="22" t="s">
        <v>23</v>
      </c>
      <c r="F1312" s="20" t="s">
        <v>27</v>
      </c>
      <c r="G1312" s="20" t="s">
        <v>27</v>
      </c>
    </row>
    <row r="1313" ht="22" customHeight="1" spans="1:7" x14ac:dyDescent="0.25">
      <c r="A1313" s="16" t="s">
        <v>31</v>
      </c>
      <c r="B1313" s="17" t="s">
        <v>568</v>
      </c>
      <c r="C1313" s="17" t="s">
        <v>467</v>
      </c>
      <c r="D1313" s="17" t="s">
        <v>23</v>
      </c>
      <c r="E1313" s="18">
        <v>40</v>
      </c>
      <c r="F1313" s="16" t="s">
        <v>27</v>
      </c>
      <c r="G1313" s="16" t="s">
        <v>23</v>
      </c>
    </row>
    <row r="1314" ht="20" customHeight="1" spans="1:7" x14ac:dyDescent="0.25">
      <c r="A1314" s="20" t="s">
        <v>35</v>
      </c>
      <c r="B1314" s="21" t="s">
        <v>25</v>
      </c>
      <c r="C1314" s="21" t="s">
        <v>26</v>
      </c>
      <c r="D1314" s="21" t="s">
        <v>27</v>
      </c>
      <c r="E1314" s="22" t="s">
        <v>23</v>
      </c>
      <c r="F1314" s="20" t="s">
        <v>27</v>
      </c>
      <c r="G1314" s="20" t="s">
        <v>27</v>
      </c>
    </row>
    <row r="1315" ht="22" customHeight="1" spans="1:7" x14ac:dyDescent="0.25">
      <c r="A1315" s="16" t="s">
        <v>36</v>
      </c>
      <c r="B1315" s="17" t="s">
        <v>568</v>
      </c>
      <c r="C1315" s="17" t="s">
        <v>467</v>
      </c>
      <c r="D1315" s="17" t="s">
        <v>23</v>
      </c>
      <c r="E1315" s="18">
        <v>40</v>
      </c>
      <c r="F1315" s="16" t="s">
        <v>27</v>
      </c>
      <c r="G1315" s="16" t="s">
        <v>23</v>
      </c>
    </row>
    <row r="1316" ht="24" customHeight="1" spans="1:7" x14ac:dyDescent="0.25">
      <c r="A1316" s="23" t="s">
        <v>38</v>
      </c>
      <c r="B1316" s="23" t="s">
        <v>39</v>
      </c>
      <c r="C1316" s="24" t="s">
        <v>40</v>
      </c>
      <c r="D1316" s="24" t="s">
        <v>41</v>
      </c>
      <c r="E1316" s="25">
        <f>SUM(E1309,E1311,E1313,E1315)</f>
        <v>156.6</v>
      </c>
      <c r="F1316" s="23" t="str">
        <f>ROUND(E1316/60, 1) &amp; " Saat"</f>
        <v>2.6 Saat</v>
      </c>
      <c r="G1316" s="23" t="str">
        <f>COUNTIF(G1309:G1315, "X") &amp; "/4"</f>
        <v>0/4</v>
      </c>
    </row>
    <row r="1317" ht="28" customHeight="1" spans="1:7" x14ac:dyDescent="0.25">
      <c r="A1317" s="26" t="s">
        <v>79</v>
      </c>
      <c r="B1317" s="26"/>
      <c r="C1317" s="26"/>
      <c r="D1317" s="26"/>
      <c r="E1317" s="26"/>
      <c r="F1317" s="26"/>
      <c r="G1317" s="26"/>
    </row>
    <row r="1318" ht="8" customHeight="1" x14ac:dyDescent="0.25"/>
    <row r="1319" ht="25" customHeight="1" spans="1:7" x14ac:dyDescent="0.25">
      <c r="A1319" s="14" t="s">
        <v>607</v>
      </c>
      <c r="B1319" s="14"/>
      <c r="C1319" s="14"/>
      <c r="D1319" s="14"/>
      <c r="E1319" s="14"/>
      <c r="F1319" s="14"/>
      <c r="G1319" s="14"/>
    </row>
    <row r="1320" ht="22" customHeight="1" spans="1:7" x14ac:dyDescent="0.25">
      <c r="A1320" s="15" t="s">
        <v>17</v>
      </c>
      <c r="B1320" s="15"/>
      <c r="C1320" s="15"/>
      <c r="D1320" s="15"/>
      <c r="E1320" s="15"/>
      <c r="F1320" s="15"/>
      <c r="G1320" s="15"/>
    </row>
    <row r="1321" ht="22" customHeight="1" spans="1:7" x14ac:dyDescent="0.25">
      <c r="A1321" s="16" t="s">
        <v>18</v>
      </c>
      <c r="B1321" s="17" t="s">
        <v>19</v>
      </c>
      <c r="C1321" s="17" t="s">
        <v>608</v>
      </c>
      <c r="D1321" s="17" t="s">
        <v>21</v>
      </c>
      <c r="E1321" s="18">
        <v>4.6</v>
      </c>
      <c r="F1321" s="19" t="s">
        <v>22</v>
      </c>
      <c r="G1321" s="16" t="s">
        <v>23</v>
      </c>
    </row>
    <row r="1322" ht="20" customHeight="1" spans="1:7" x14ac:dyDescent="0.25">
      <c r="A1322" s="20" t="s">
        <v>24</v>
      </c>
      <c r="B1322" s="21" t="s">
        <v>25</v>
      </c>
      <c r="C1322" s="21" t="s">
        <v>26</v>
      </c>
      <c r="D1322" s="21" t="s">
        <v>27</v>
      </c>
      <c r="E1322" s="22" t="s">
        <v>23</v>
      </c>
      <c r="F1322" s="20" t="s">
        <v>27</v>
      </c>
      <c r="G1322" s="20" t="s">
        <v>27</v>
      </c>
    </row>
    <row r="1323" ht="22" customHeight="1" spans="1:7" x14ac:dyDescent="0.25">
      <c r="A1323" s="16" t="s">
        <v>28</v>
      </c>
      <c r="B1323" s="17" t="s">
        <v>19</v>
      </c>
      <c r="C1323" s="17" t="s">
        <v>609</v>
      </c>
      <c r="D1323" s="17" t="s">
        <v>21</v>
      </c>
      <c r="E1323" s="18">
        <v>21.5</v>
      </c>
      <c r="F1323" s="19" t="s">
        <v>22</v>
      </c>
      <c r="G1323" s="16" t="s">
        <v>23</v>
      </c>
    </row>
    <row r="1324" ht="20" customHeight="1" spans="1:7" x14ac:dyDescent="0.25">
      <c r="A1324" s="20" t="s">
        <v>30</v>
      </c>
      <c r="B1324" s="21" t="s">
        <v>25</v>
      </c>
      <c r="C1324" s="21" t="s">
        <v>26</v>
      </c>
      <c r="D1324" s="21" t="s">
        <v>27</v>
      </c>
      <c r="E1324" s="22" t="s">
        <v>23</v>
      </c>
      <c r="F1324" s="20" t="s">
        <v>27</v>
      </c>
      <c r="G1324" s="20" t="s">
        <v>27</v>
      </c>
    </row>
    <row r="1325" ht="22" customHeight="1" spans="1:7" x14ac:dyDescent="0.25">
      <c r="A1325" s="16" t="s">
        <v>31</v>
      </c>
      <c r="B1325" s="17" t="s">
        <v>32</v>
      </c>
      <c r="C1325" s="17" t="s">
        <v>610</v>
      </c>
      <c r="D1325" s="17" t="s">
        <v>34</v>
      </c>
      <c r="E1325" s="18">
        <v>46.4</v>
      </c>
      <c r="F1325" s="19" t="s">
        <v>22</v>
      </c>
      <c r="G1325" s="16" t="s">
        <v>23</v>
      </c>
    </row>
    <row r="1326" ht="20" customHeight="1" spans="1:7" x14ac:dyDescent="0.25">
      <c r="A1326" s="20" t="s">
        <v>35</v>
      </c>
      <c r="B1326" s="21" t="s">
        <v>25</v>
      </c>
      <c r="C1326" s="21" t="s">
        <v>26</v>
      </c>
      <c r="D1326" s="21" t="s">
        <v>27</v>
      </c>
      <c r="E1326" s="22" t="s">
        <v>23</v>
      </c>
      <c r="F1326" s="20" t="s">
        <v>27</v>
      </c>
      <c r="G1326" s="20" t="s">
        <v>27</v>
      </c>
    </row>
    <row r="1327" ht="22" customHeight="1" spans="1:7" x14ac:dyDescent="0.25">
      <c r="A1327" s="16" t="s">
        <v>36</v>
      </c>
      <c r="B1327" s="17" t="s">
        <v>32</v>
      </c>
      <c r="C1327" s="17" t="s">
        <v>611</v>
      </c>
      <c r="D1327" s="17" t="s">
        <v>34</v>
      </c>
      <c r="E1327" s="18">
        <v>20</v>
      </c>
      <c r="F1327" s="19" t="s">
        <v>22</v>
      </c>
      <c r="G1327" s="16" t="s">
        <v>23</v>
      </c>
    </row>
    <row r="1328" ht="24" customHeight="1" spans="1:7" x14ac:dyDescent="0.25">
      <c r="A1328" s="23" t="s">
        <v>38</v>
      </c>
      <c r="B1328" s="23" t="s">
        <v>39</v>
      </c>
      <c r="C1328" s="24" t="s">
        <v>40</v>
      </c>
      <c r="D1328" s="24" t="s">
        <v>41</v>
      </c>
      <c r="E1328" s="25">
        <f>SUM(E1321,E1323,E1325,E1327)</f>
        <v>92.5</v>
      </c>
      <c r="F1328" s="23" t="str">
        <f>ROUND(E1328/60, 1) &amp; " Saat"</f>
        <v>1.5 Saat</v>
      </c>
      <c r="G1328" s="23" t="str">
        <f>COUNTIF(G1321:G1327, "X") &amp; "/4"</f>
        <v>0/4</v>
      </c>
    </row>
    <row r="1329" ht="22" customHeight="1" spans="1:7" x14ac:dyDescent="0.25">
      <c r="A1329" s="15" t="s">
        <v>42</v>
      </c>
      <c r="B1329" s="15"/>
      <c r="C1329" s="15"/>
      <c r="D1329" s="15"/>
      <c r="E1329" s="15"/>
      <c r="F1329" s="15"/>
      <c r="G1329" s="15"/>
    </row>
    <row r="1330" ht="22" customHeight="1" spans="1:7" x14ac:dyDescent="0.25">
      <c r="A1330" s="16" t="s">
        <v>18</v>
      </c>
      <c r="B1330" s="17" t="s">
        <v>43</v>
      </c>
      <c r="C1330" s="17" t="s">
        <v>612</v>
      </c>
      <c r="D1330" s="17" t="s">
        <v>45</v>
      </c>
      <c r="E1330" s="18">
        <v>47.1</v>
      </c>
      <c r="F1330" s="19" t="s">
        <v>22</v>
      </c>
      <c r="G1330" s="16" t="s">
        <v>23</v>
      </c>
    </row>
    <row r="1331" ht="20" customHeight="1" spans="1:7" x14ac:dyDescent="0.25">
      <c r="A1331" s="20" t="s">
        <v>24</v>
      </c>
      <c r="B1331" s="21" t="s">
        <v>25</v>
      </c>
      <c r="C1331" s="21" t="s">
        <v>26</v>
      </c>
      <c r="D1331" s="21" t="s">
        <v>27</v>
      </c>
      <c r="E1331" s="22" t="s">
        <v>23</v>
      </c>
      <c r="F1331" s="20" t="s">
        <v>27</v>
      </c>
      <c r="G1331" s="20" t="s">
        <v>27</v>
      </c>
    </row>
    <row r="1332" ht="22" customHeight="1" spans="1:7" x14ac:dyDescent="0.25">
      <c r="A1332" s="16" t="s">
        <v>28</v>
      </c>
      <c r="B1332" s="17" t="s">
        <v>43</v>
      </c>
      <c r="C1332" s="17" t="s">
        <v>613</v>
      </c>
      <c r="D1332" s="17" t="s">
        <v>45</v>
      </c>
      <c r="E1332" s="18">
        <v>50.4</v>
      </c>
      <c r="F1332" s="19" t="s">
        <v>22</v>
      </c>
      <c r="G1332" s="16" t="s">
        <v>23</v>
      </c>
    </row>
    <row r="1333" ht="20" customHeight="1" spans="1:7" x14ac:dyDescent="0.25">
      <c r="A1333" s="20" t="s">
        <v>30</v>
      </c>
      <c r="B1333" s="21" t="s">
        <v>25</v>
      </c>
      <c r="C1333" s="21" t="s">
        <v>26</v>
      </c>
      <c r="D1333" s="21" t="s">
        <v>27</v>
      </c>
      <c r="E1333" s="22" t="s">
        <v>23</v>
      </c>
      <c r="F1333" s="20" t="s">
        <v>27</v>
      </c>
      <c r="G1333" s="20" t="s">
        <v>27</v>
      </c>
    </row>
    <row r="1334" ht="22" customHeight="1" spans="1:7" x14ac:dyDescent="0.25">
      <c r="A1334" s="16" t="s">
        <v>31</v>
      </c>
      <c r="B1334" s="17" t="s">
        <v>47</v>
      </c>
      <c r="C1334" s="17" t="s">
        <v>614</v>
      </c>
      <c r="D1334" s="17" t="s">
        <v>49</v>
      </c>
      <c r="E1334" s="18">
        <v>34.4</v>
      </c>
      <c r="F1334" s="19" t="s">
        <v>22</v>
      </c>
      <c r="G1334" s="16" t="s">
        <v>23</v>
      </c>
    </row>
    <row r="1335" ht="20" customHeight="1" spans="1:7" x14ac:dyDescent="0.25">
      <c r="A1335" s="20" t="s">
        <v>35</v>
      </c>
      <c r="B1335" s="21" t="s">
        <v>25</v>
      </c>
      <c r="C1335" s="21" t="s">
        <v>26</v>
      </c>
      <c r="D1335" s="21" t="s">
        <v>27</v>
      </c>
      <c r="E1335" s="22" t="s">
        <v>23</v>
      </c>
      <c r="F1335" s="20" t="s">
        <v>27</v>
      </c>
      <c r="G1335" s="20" t="s">
        <v>27</v>
      </c>
    </row>
    <row r="1336" ht="22" customHeight="1" spans="1:7" x14ac:dyDescent="0.25">
      <c r="A1336" s="16" t="s">
        <v>36</v>
      </c>
      <c r="B1336" s="17" t="s">
        <v>47</v>
      </c>
      <c r="C1336" s="17" t="s">
        <v>615</v>
      </c>
      <c r="D1336" s="17" t="s">
        <v>49</v>
      </c>
      <c r="E1336" s="18">
        <v>40.7</v>
      </c>
      <c r="F1336" s="19" t="s">
        <v>22</v>
      </c>
      <c r="G1336" s="16" t="s">
        <v>23</v>
      </c>
    </row>
    <row r="1337" ht="24" customHeight="1" spans="1:7" x14ac:dyDescent="0.25">
      <c r="A1337" s="23" t="s">
        <v>38</v>
      </c>
      <c r="B1337" s="23" t="s">
        <v>39</v>
      </c>
      <c r="C1337" s="24" t="s">
        <v>40</v>
      </c>
      <c r="D1337" s="24" t="s">
        <v>41</v>
      </c>
      <c r="E1337" s="25">
        <f>SUM(E1330,E1332,E1334,E1336)</f>
        <v>172.6</v>
      </c>
      <c r="F1337" s="23" t="str">
        <f>ROUND(E1337/60, 1) &amp; " Saat"</f>
        <v>2.9 Saat</v>
      </c>
      <c r="G1337" s="23" t="str">
        <f>COUNTIF(G1330:G1336, "X") &amp; "/4"</f>
        <v>0/4</v>
      </c>
    </row>
    <row r="1338" ht="22" customHeight="1" spans="1:7" x14ac:dyDescent="0.25">
      <c r="A1338" s="15" t="s">
        <v>51</v>
      </c>
      <c r="B1338" s="15"/>
      <c r="C1338" s="15"/>
      <c r="D1338" s="15"/>
      <c r="E1338" s="15"/>
      <c r="F1338" s="15"/>
      <c r="G1338" s="15"/>
    </row>
    <row r="1339" ht="22" customHeight="1" spans="1:7" x14ac:dyDescent="0.25">
      <c r="A1339" s="16" t="s">
        <v>18</v>
      </c>
      <c r="B1339" s="17" t="s">
        <v>52</v>
      </c>
      <c r="C1339" s="17" t="s">
        <v>467</v>
      </c>
      <c r="D1339" s="17" t="s">
        <v>23</v>
      </c>
      <c r="E1339" s="18">
        <v>40</v>
      </c>
      <c r="F1339" s="16" t="s">
        <v>27</v>
      </c>
      <c r="G1339" s="16" t="s">
        <v>23</v>
      </c>
    </row>
    <row r="1340" ht="20" customHeight="1" spans="1:7" x14ac:dyDescent="0.25">
      <c r="A1340" s="20" t="s">
        <v>24</v>
      </c>
      <c r="B1340" s="21" t="s">
        <v>25</v>
      </c>
      <c r="C1340" s="21" t="s">
        <v>26</v>
      </c>
      <c r="D1340" s="21" t="s">
        <v>27</v>
      </c>
      <c r="E1340" s="22" t="s">
        <v>23</v>
      </c>
      <c r="F1340" s="20" t="s">
        <v>27</v>
      </c>
      <c r="G1340" s="20" t="s">
        <v>27</v>
      </c>
    </row>
    <row r="1341" ht="22" customHeight="1" spans="1:7" x14ac:dyDescent="0.25">
      <c r="A1341" s="16" t="s">
        <v>28</v>
      </c>
      <c r="B1341" s="17" t="s">
        <v>52</v>
      </c>
      <c r="C1341" s="17" t="s">
        <v>467</v>
      </c>
      <c r="D1341" s="17" t="s">
        <v>23</v>
      </c>
      <c r="E1341" s="18">
        <v>40</v>
      </c>
      <c r="F1341" s="16" t="s">
        <v>27</v>
      </c>
      <c r="G1341" s="16" t="s">
        <v>23</v>
      </c>
    </row>
    <row r="1342" ht="20" customHeight="1" spans="1:7" x14ac:dyDescent="0.25">
      <c r="A1342" s="20" t="s">
        <v>30</v>
      </c>
      <c r="B1342" s="21" t="s">
        <v>25</v>
      </c>
      <c r="C1342" s="21" t="s">
        <v>26</v>
      </c>
      <c r="D1342" s="21" t="s">
        <v>27</v>
      </c>
      <c r="E1342" s="22" t="s">
        <v>23</v>
      </c>
      <c r="F1342" s="20" t="s">
        <v>27</v>
      </c>
      <c r="G1342" s="20" t="s">
        <v>27</v>
      </c>
    </row>
    <row r="1343" ht="22" customHeight="1" spans="1:7" x14ac:dyDescent="0.25">
      <c r="A1343" s="16" t="s">
        <v>31</v>
      </c>
      <c r="B1343" s="17" t="s">
        <v>56</v>
      </c>
      <c r="C1343" s="17" t="s">
        <v>467</v>
      </c>
      <c r="D1343" s="17" t="s">
        <v>23</v>
      </c>
      <c r="E1343" s="18">
        <v>40</v>
      </c>
      <c r="F1343" s="16" t="s">
        <v>27</v>
      </c>
      <c r="G1343" s="16" t="s">
        <v>23</v>
      </c>
    </row>
    <row r="1344" ht="20" customHeight="1" spans="1:7" x14ac:dyDescent="0.25">
      <c r="A1344" s="20" t="s">
        <v>35</v>
      </c>
      <c r="B1344" s="21" t="s">
        <v>25</v>
      </c>
      <c r="C1344" s="21" t="s">
        <v>26</v>
      </c>
      <c r="D1344" s="21" t="s">
        <v>27</v>
      </c>
      <c r="E1344" s="22" t="s">
        <v>23</v>
      </c>
      <c r="F1344" s="20" t="s">
        <v>27</v>
      </c>
      <c r="G1344" s="20" t="s">
        <v>27</v>
      </c>
    </row>
    <row r="1345" ht="22" customHeight="1" spans="1:7" x14ac:dyDescent="0.25">
      <c r="A1345" s="16" t="s">
        <v>36</v>
      </c>
      <c r="B1345" s="17" t="s">
        <v>56</v>
      </c>
      <c r="C1345" s="17" t="s">
        <v>467</v>
      </c>
      <c r="D1345" s="17" t="s">
        <v>23</v>
      </c>
      <c r="E1345" s="18">
        <v>40</v>
      </c>
      <c r="F1345" s="16" t="s">
        <v>27</v>
      </c>
      <c r="G1345" s="16" t="s">
        <v>23</v>
      </c>
    </row>
    <row r="1346" ht="24" customHeight="1" spans="1:7" x14ac:dyDescent="0.25">
      <c r="A1346" s="23" t="s">
        <v>38</v>
      </c>
      <c r="B1346" s="23" t="s">
        <v>39</v>
      </c>
      <c r="C1346" s="24" t="s">
        <v>40</v>
      </c>
      <c r="D1346" s="24" t="s">
        <v>41</v>
      </c>
      <c r="E1346" s="25">
        <f>SUM(E1339,E1341,E1343,E1345)</f>
        <v>160</v>
      </c>
      <c r="F1346" s="23" t="str">
        <f>ROUND(E1346/60, 1) &amp; " Saat"</f>
        <v>2.7 Saat</v>
      </c>
      <c r="G1346" s="23" t="str">
        <f>COUNTIF(G1339:G1345, "X") &amp; "/4"</f>
        <v>0/4</v>
      </c>
    </row>
    <row r="1347" ht="22" customHeight="1" spans="1:7" x14ac:dyDescent="0.25">
      <c r="A1347" s="15" t="s">
        <v>60</v>
      </c>
      <c r="B1347" s="15"/>
      <c r="C1347" s="15"/>
      <c r="D1347" s="15"/>
      <c r="E1347" s="15"/>
      <c r="F1347" s="15"/>
      <c r="G1347" s="15"/>
    </row>
    <row r="1348" ht="22" customHeight="1" spans="1:7" x14ac:dyDescent="0.25">
      <c r="A1348" s="16" t="s">
        <v>18</v>
      </c>
      <c r="B1348" s="17" t="s">
        <v>43</v>
      </c>
      <c r="C1348" s="17" t="s">
        <v>616</v>
      </c>
      <c r="D1348" s="17" t="s">
        <v>45</v>
      </c>
      <c r="E1348" s="18">
        <v>61.3</v>
      </c>
      <c r="F1348" s="19" t="s">
        <v>22</v>
      </c>
      <c r="G1348" s="16" t="s">
        <v>23</v>
      </c>
    </row>
    <row r="1349" ht="20" customHeight="1" spans="1:7" x14ac:dyDescent="0.25">
      <c r="A1349" s="20" t="s">
        <v>24</v>
      </c>
      <c r="B1349" s="21" t="s">
        <v>25</v>
      </c>
      <c r="C1349" s="21" t="s">
        <v>26</v>
      </c>
      <c r="D1349" s="21" t="s">
        <v>27</v>
      </c>
      <c r="E1349" s="22" t="s">
        <v>23</v>
      </c>
      <c r="F1349" s="20" t="s">
        <v>27</v>
      </c>
      <c r="G1349" s="20" t="s">
        <v>27</v>
      </c>
    </row>
    <row r="1350" ht="22" customHeight="1" spans="1:7" x14ac:dyDescent="0.25">
      <c r="A1350" s="16" t="s">
        <v>28</v>
      </c>
      <c r="B1350" s="17" t="s">
        <v>43</v>
      </c>
      <c r="C1350" s="17" t="s">
        <v>617</v>
      </c>
      <c r="D1350" s="17" t="s">
        <v>45</v>
      </c>
      <c r="E1350" s="18">
        <v>44.6</v>
      </c>
      <c r="F1350" s="19" t="s">
        <v>22</v>
      </c>
      <c r="G1350" s="16" t="s">
        <v>23</v>
      </c>
    </row>
    <row r="1351" ht="20" customHeight="1" spans="1:7" x14ac:dyDescent="0.25">
      <c r="A1351" s="20" t="s">
        <v>30</v>
      </c>
      <c r="B1351" s="21" t="s">
        <v>25</v>
      </c>
      <c r="C1351" s="21" t="s">
        <v>26</v>
      </c>
      <c r="D1351" s="21" t="s">
        <v>27</v>
      </c>
      <c r="E1351" s="22" t="s">
        <v>23</v>
      </c>
      <c r="F1351" s="20" t="s">
        <v>27</v>
      </c>
      <c r="G1351" s="20" t="s">
        <v>27</v>
      </c>
    </row>
    <row r="1352" ht="22" customHeight="1" spans="1:7" x14ac:dyDescent="0.25">
      <c r="A1352" s="16" t="s">
        <v>31</v>
      </c>
      <c r="B1352" s="17" t="s">
        <v>63</v>
      </c>
      <c r="C1352" s="17" t="s">
        <v>618</v>
      </c>
      <c r="D1352" s="17" t="s">
        <v>65</v>
      </c>
      <c r="E1352" s="18">
        <v>45.8</v>
      </c>
      <c r="F1352" s="19" t="s">
        <v>22</v>
      </c>
      <c r="G1352" s="16" t="s">
        <v>23</v>
      </c>
    </row>
    <row r="1353" ht="20" customHeight="1" spans="1:7" x14ac:dyDescent="0.25">
      <c r="A1353" s="20" t="s">
        <v>35</v>
      </c>
      <c r="B1353" s="21" t="s">
        <v>25</v>
      </c>
      <c r="C1353" s="21" t="s">
        <v>26</v>
      </c>
      <c r="D1353" s="21" t="s">
        <v>27</v>
      </c>
      <c r="E1353" s="22" t="s">
        <v>23</v>
      </c>
      <c r="F1353" s="20" t="s">
        <v>27</v>
      </c>
      <c r="G1353" s="20" t="s">
        <v>27</v>
      </c>
    </row>
    <row r="1354" ht="22" customHeight="1" spans="1:7" x14ac:dyDescent="0.25">
      <c r="A1354" s="16" t="s">
        <v>36</v>
      </c>
      <c r="B1354" s="17" t="s">
        <v>63</v>
      </c>
      <c r="C1354" s="17" t="s">
        <v>619</v>
      </c>
      <c r="D1354" s="17" t="s">
        <v>65</v>
      </c>
      <c r="E1354" s="18">
        <v>32.3</v>
      </c>
      <c r="F1354" s="19" t="s">
        <v>22</v>
      </c>
      <c r="G1354" s="16" t="s">
        <v>23</v>
      </c>
    </row>
    <row r="1355" ht="24" customHeight="1" spans="1:7" x14ac:dyDescent="0.25">
      <c r="A1355" s="23" t="s">
        <v>38</v>
      </c>
      <c r="B1355" s="23" t="s">
        <v>39</v>
      </c>
      <c r="C1355" s="24" t="s">
        <v>40</v>
      </c>
      <c r="D1355" s="24" t="s">
        <v>41</v>
      </c>
      <c r="E1355" s="25">
        <f>SUM(E1348,E1350,E1352,E1354)</f>
        <v>184</v>
      </c>
      <c r="F1355" s="23" t="str">
        <f>ROUND(E1355/60, 1) &amp; " Saat"</f>
        <v>3.1 Saat</v>
      </c>
      <c r="G1355" s="23" t="str">
        <f>COUNTIF(G1348:G1354, "X") &amp; "/4"</f>
        <v>0/4</v>
      </c>
    </row>
    <row r="1356" ht="22" customHeight="1" spans="1:7" x14ac:dyDescent="0.25">
      <c r="A1356" s="15" t="s">
        <v>67</v>
      </c>
      <c r="B1356" s="15"/>
      <c r="C1356" s="15"/>
      <c r="D1356" s="15"/>
      <c r="E1356" s="15"/>
      <c r="F1356" s="15"/>
      <c r="G1356" s="15"/>
    </row>
    <row r="1357" ht="22" customHeight="1" spans="1:7" x14ac:dyDescent="0.25">
      <c r="A1357" s="16" t="s">
        <v>18</v>
      </c>
      <c r="B1357" s="17" t="s">
        <v>68</v>
      </c>
      <c r="C1357" s="17" t="s">
        <v>620</v>
      </c>
      <c r="D1357" s="17" t="s">
        <v>70</v>
      </c>
      <c r="E1357" s="18">
        <v>40.8</v>
      </c>
      <c r="F1357" s="19" t="s">
        <v>22</v>
      </c>
      <c r="G1357" s="16" t="s">
        <v>23</v>
      </c>
    </row>
    <row r="1358" ht="20" customHeight="1" spans="1:7" x14ac:dyDescent="0.25">
      <c r="A1358" s="20" t="s">
        <v>24</v>
      </c>
      <c r="B1358" s="21" t="s">
        <v>25</v>
      </c>
      <c r="C1358" s="21" t="s">
        <v>26</v>
      </c>
      <c r="D1358" s="21" t="s">
        <v>27</v>
      </c>
      <c r="E1358" s="22" t="s">
        <v>23</v>
      </c>
      <c r="F1358" s="20" t="s">
        <v>27</v>
      </c>
      <c r="G1358" s="20" t="s">
        <v>27</v>
      </c>
    </row>
    <row r="1359" ht="22" customHeight="1" spans="1:7" x14ac:dyDescent="0.25">
      <c r="A1359" s="16" t="s">
        <v>28</v>
      </c>
      <c r="B1359" s="17" t="s">
        <v>68</v>
      </c>
      <c r="C1359" s="17" t="s">
        <v>621</v>
      </c>
      <c r="D1359" s="17" t="s">
        <v>70</v>
      </c>
      <c r="E1359" s="18">
        <v>44.5</v>
      </c>
      <c r="F1359" s="19" t="s">
        <v>22</v>
      </c>
      <c r="G1359" s="16" t="s">
        <v>23</v>
      </c>
    </row>
    <row r="1360" ht="20" customHeight="1" spans="1:7" x14ac:dyDescent="0.25">
      <c r="A1360" s="20" t="s">
        <v>30</v>
      </c>
      <c r="B1360" s="21" t="s">
        <v>25</v>
      </c>
      <c r="C1360" s="21" t="s">
        <v>26</v>
      </c>
      <c r="D1360" s="21" t="s">
        <v>27</v>
      </c>
      <c r="E1360" s="22" t="s">
        <v>23</v>
      </c>
      <c r="F1360" s="20" t="s">
        <v>27</v>
      </c>
      <c r="G1360" s="20" t="s">
        <v>27</v>
      </c>
    </row>
    <row r="1361" ht="22" customHeight="1" spans="1:7" x14ac:dyDescent="0.25">
      <c r="A1361" s="16" t="s">
        <v>31</v>
      </c>
      <c r="B1361" s="17" t="s">
        <v>449</v>
      </c>
      <c r="C1361" s="17" t="s">
        <v>622</v>
      </c>
      <c r="D1361" s="17" t="s">
        <v>34</v>
      </c>
      <c r="E1361" s="18">
        <v>17.6</v>
      </c>
      <c r="F1361" s="19" t="s">
        <v>22</v>
      </c>
      <c r="G1361" s="16" t="s">
        <v>23</v>
      </c>
    </row>
    <row r="1362" ht="20" customHeight="1" spans="1:7" x14ac:dyDescent="0.25">
      <c r="A1362" s="20" t="s">
        <v>35</v>
      </c>
      <c r="B1362" s="21" t="s">
        <v>25</v>
      </c>
      <c r="C1362" s="21" t="s">
        <v>26</v>
      </c>
      <c r="D1362" s="21" t="s">
        <v>27</v>
      </c>
      <c r="E1362" s="22" t="s">
        <v>23</v>
      </c>
      <c r="F1362" s="20" t="s">
        <v>27</v>
      </c>
      <c r="G1362" s="20" t="s">
        <v>27</v>
      </c>
    </row>
    <row r="1363" ht="22" customHeight="1" spans="1:7" x14ac:dyDescent="0.25">
      <c r="A1363" s="16" t="s">
        <v>36</v>
      </c>
      <c r="B1363" s="17" t="s">
        <v>449</v>
      </c>
      <c r="C1363" s="17" t="s">
        <v>623</v>
      </c>
      <c r="D1363" s="17" t="s">
        <v>34</v>
      </c>
      <c r="E1363" s="18">
        <v>33</v>
      </c>
      <c r="F1363" s="19" t="s">
        <v>22</v>
      </c>
      <c r="G1363" s="16" t="s">
        <v>23</v>
      </c>
    </row>
    <row r="1364" ht="24" customHeight="1" spans="1:7" x14ac:dyDescent="0.25">
      <c r="A1364" s="23" t="s">
        <v>38</v>
      </c>
      <c r="B1364" s="23" t="s">
        <v>39</v>
      </c>
      <c r="C1364" s="24" t="s">
        <v>40</v>
      </c>
      <c r="D1364" s="24" t="s">
        <v>41</v>
      </c>
      <c r="E1364" s="25">
        <f>SUM(E1357,E1359,E1361,E1363)</f>
        <v>135.9</v>
      </c>
      <c r="F1364" s="23" t="str">
        <f>ROUND(E1364/60, 1) &amp; " Saat"</f>
        <v>2.3 Saat</v>
      </c>
      <c r="G1364" s="23" t="str">
        <f>COUNTIF(G1357:G1363, "X") &amp; "/4"</f>
        <v>0/4</v>
      </c>
    </row>
    <row r="1365" ht="22" customHeight="1" spans="1:7" x14ac:dyDescent="0.25">
      <c r="A1365" s="15" t="s">
        <v>74</v>
      </c>
      <c r="B1365" s="15"/>
      <c r="C1365" s="15"/>
      <c r="D1365" s="15"/>
      <c r="E1365" s="15"/>
      <c r="F1365" s="15"/>
      <c r="G1365" s="15"/>
    </row>
    <row r="1366" ht="22" customHeight="1" spans="1:7" x14ac:dyDescent="0.25">
      <c r="A1366" s="16" t="s">
        <v>18</v>
      </c>
      <c r="B1366" s="17" t="s">
        <v>47</v>
      </c>
      <c r="C1366" s="17" t="s">
        <v>624</v>
      </c>
      <c r="D1366" s="17" t="s">
        <v>49</v>
      </c>
      <c r="E1366" s="18">
        <v>52.5</v>
      </c>
      <c r="F1366" s="19" t="s">
        <v>22</v>
      </c>
      <c r="G1366" s="16" t="s">
        <v>23</v>
      </c>
    </row>
    <row r="1367" ht="20" customHeight="1" spans="1:7" x14ac:dyDescent="0.25">
      <c r="A1367" s="20" t="s">
        <v>24</v>
      </c>
      <c r="B1367" s="21" t="s">
        <v>25</v>
      </c>
      <c r="C1367" s="21" t="s">
        <v>26</v>
      </c>
      <c r="D1367" s="21" t="s">
        <v>27</v>
      </c>
      <c r="E1367" s="22" t="s">
        <v>23</v>
      </c>
      <c r="F1367" s="20" t="s">
        <v>27</v>
      </c>
      <c r="G1367" s="20" t="s">
        <v>27</v>
      </c>
    </row>
    <row r="1368" ht="22" customHeight="1" spans="1:7" x14ac:dyDescent="0.25">
      <c r="A1368" s="16" t="s">
        <v>28</v>
      </c>
      <c r="B1368" s="17" t="s">
        <v>47</v>
      </c>
      <c r="C1368" s="17" t="s">
        <v>625</v>
      </c>
      <c r="D1368" s="17" t="s">
        <v>49</v>
      </c>
      <c r="E1368" s="18">
        <v>31.4</v>
      </c>
      <c r="F1368" s="19" t="s">
        <v>22</v>
      </c>
      <c r="G1368" s="16" t="s">
        <v>23</v>
      </c>
    </row>
    <row r="1369" ht="20" customHeight="1" spans="1:7" x14ac:dyDescent="0.25">
      <c r="A1369" s="20" t="s">
        <v>30</v>
      </c>
      <c r="B1369" s="21" t="s">
        <v>25</v>
      </c>
      <c r="C1369" s="21" t="s">
        <v>26</v>
      </c>
      <c r="D1369" s="21" t="s">
        <v>27</v>
      </c>
      <c r="E1369" s="22" t="s">
        <v>23</v>
      </c>
      <c r="F1369" s="20" t="s">
        <v>27</v>
      </c>
      <c r="G1369" s="20" t="s">
        <v>27</v>
      </c>
    </row>
    <row r="1370" ht="22" customHeight="1" spans="1:7" x14ac:dyDescent="0.25">
      <c r="A1370" s="16" t="s">
        <v>31</v>
      </c>
      <c r="B1370" s="17" t="s">
        <v>568</v>
      </c>
      <c r="C1370" s="17" t="s">
        <v>467</v>
      </c>
      <c r="D1370" s="17" t="s">
        <v>23</v>
      </c>
      <c r="E1370" s="18">
        <v>40</v>
      </c>
      <c r="F1370" s="16" t="s">
        <v>27</v>
      </c>
      <c r="G1370" s="16" t="s">
        <v>23</v>
      </c>
    </row>
    <row r="1371" ht="20" customHeight="1" spans="1:7" x14ac:dyDescent="0.25">
      <c r="A1371" s="20" t="s">
        <v>35</v>
      </c>
      <c r="B1371" s="21" t="s">
        <v>25</v>
      </c>
      <c r="C1371" s="21" t="s">
        <v>26</v>
      </c>
      <c r="D1371" s="21" t="s">
        <v>27</v>
      </c>
      <c r="E1371" s="22" t="s">
        <v>23</v>
      </c>
      <c r="F1371" s="20" t="s">
        <v>27</v>
      </c>
      <c r="G1371" s="20" t="s">
        <v>27</v>
      </c>
    </row>
    <row r="1372" ht="22" customHeight="1" spans="1:7" x14ac:dyDescent="0.25">
      <c r="A1372" s="16" t="s">
        <v>36</v>
      </c>
      <c r="B1372" s="17" t="s">
        <v>568</v>
      </c>
      <c r="C1372" s="17" t="s">
        <v>467</v>
      </c>
      <c r="D1372" s="17" t="s">
        <v>23</v>
      </c>
      <c r="E1372" s="18">
        <v>40</v>
      </c>
      <c r="F1372" s="16" t="s">
        <v>27</v>
      </c>
      <c r="G1372" s="16" t="s">
        <v>23</v>
      </c>
    </row>
    <row r="1373" ht="24" customHeight="1" spans="1:7" x14ac:dyDescent="0.25">
      <c r="A1373" s="23" t="s">
        <v>38</v>
      </c>
      <c r="B1373" s="23" t="s">
        <v>39</v>
      </c>
      <c r="C1373" s="24" t="s">
        <v>40</v>
      </c>
      <c r="D1373" s="24" t="s">
        <v>41</v>
      </c>
      <c r="E1373" s="25">
        <f>SUM(E1366,E1368,E1370,E1372)</f>
        <v>163.9</v>
      </c>
      <c r="F1373" s="23" t="str">
        <f>ROUND(E1373/60, 1) &amp; " Saat"</f>
        <v>2.7 Saat</v>
      </c>
      <c r="G1373" s="23" t="str">
        <f>COUNTIF(G1366:G1372, "X") &amp; "/4"</f>
        <v>0/4</v>
      </c>
    </row>
    <row r="1374" ht="28" customHeight="1" spans="1:7" x14ac:dyDescent="0.25">
      <c r="A1374" s="26" t="s">
        <v>79</v>
      </c>
      <c r="B1374" s="26"/>
      <c r="C1374" s="26"/>
      <c r="D1374" s="26"/>
      <c r="E1374" s="26"/>
      <c r="F1374" s="26"/>
      <c r="G1374" s="26"/>
    </row>
    <row r="1375" ht="8" customHeight="1" x14ac:dyDescent="0.25"/>
    <row r="1376" ht="25" customHeight="1" spans="1:7" x14ac:dyDescent="0.25">
      <c r="A1376" s="14" t="s">
        <v>626</v>
      </c>
      <c r="B1376" s="14"/>
      <c r="C1376" s="14"/>
      <c r="D1376" s="14"/>
      <c r="E1376" s="14"/>
      <c r="F1376" s="14"/>
      <c r="G1376" s="14"/>
    </row>
    <row r="1377" ht="22" customHeight="1" spans="1:7" x14ac:dyDescent="0.25">
      <c r="A1377" s="15" t="s">
        <v>17</v>
      </c>
      <c r="B1377" s="15"/>
      <c r="C1377" s="15"/>
      <c r="D1377" s="15"/>
      <c r="E1377" s="15"/>
      <c r="F1377" s="15"/>
      <c r="G1377" s="15"/>
    </row>
    <row r="1378" ht="22" customHeight="1" spans="1:7" x14ac:dyDescent="0.25">
      <c r="A1378" s="16" t="s">
        <v>18</v>
      </c>
      <c r="B1378" s="17" t="s">
        <v>19</v>
      </c>
      <c r="C1378" s="17" t="s">
        <v>627</v>
      </c>
      <c r="D1378" s="17" t="s">
        <v>21</v>
      </c>
      <c r="E1378" s="18">
        <v>22.1</v>
      </c>
      <c r="F1378" s="19" t="s">
        <v>22</v>
      </c>
      <c r="G1378" s="16" t="s">
        <v>23</v>
      </c>
    </row>
    <row r="1379" ht="20" customHeight="1" spans="1:7" x14ac:dyDescent="0.25">
      <c r="A1379" s="20" t="s">
        <v>24</v>
      </c>
      <c r="B1379" s="21" t="s">
        <v>25</v>
      </c>
      <c r="C1379" s="21" t="s">
        <v>26</v>
      </c>
      <c r="D1379" s="21" t="s">
        <v>27</v>
      </c>
      <c r="E1379" s="22" t="s">
        <v>23</v>
      </c>
      <c r="F1379" s="20" t="s">
        <v>27</v>
      </c>
      <c r="G1379" s="20" t="s">
        <v>27</v>
      </c>
    </row>
    <row r="1380" ht="22" customHeight="1" spans="1:7" x14ac:dyDescent="0.25">
      <c r="A1380" s="16" t="s">
        <v>28</v>
      </c>
      <c r="B1380" s="17" t="s">
        <v>19</v>
      </c>
      <c r="C1380" s="17" t="s">
        <v>628</v>
      </c>
      <c r="D1380" s="17" t="s">
        <v>21</v>
      </c>
      <c r="E1380" s="18">
        <v>12.5</v>
      </c>
      <c r="F1380" s="19" t="s">
        <v>22</v>
      </c>
      <c r="G1380" s="16" t="s">
        <v>23</v>
      </c>
    </row>
    <row r="1381" ht="20" customHeight="1" spans="1:7" x14ac:dyDescent="0.25">
      <c r="A1381" s="20" t="s">
        <v>30</v>
      </c>
      <c r="B1381" s="21" t="s">
        <v>25</v>
      </c>
      <c r="C1381" s="21" t="s">
        <v>26</v>
      </c>
      <c r="D1381" s="21" t="s">
        <v>27</v>
      </c>
      <c r="E1381" s="22" t="s">
        <v>23</v>
      </c>
      <c r="F1381" s="20" t="s">
        <v>27</v>
      </c>
      <c r="G1381" s="20" t="s">
        <v>27</v>
      </c>
    </row>
    <row r="1382" ht="22" customHeight="1" spans="1:7" x14ac:dyDescent="0.25">
      <c r="A1382" s="16" t="s">
        <v>31</v>
      </c>
      <c r="B1382" s="17" t="s">
        <v>32</v>
      </c>
      <c r="C1382" s="17" t="s">
        <v>629</v>
      </c>
      <c r="D1382" s="17" t="s">
        <v>34</v>
      </c>
      <c r="E1382" s="18">
        <v>28.6</v>
      </c>
      <c r="F1382" s="19" t="s">
        <v>22</v>
      </c>
      <c r="G1382" s="16" t="s">
        <v>23</v>
      </c>
    </row>
    <row r="1383" ht="20" customHeight="1" spans="1:7" x14ac:dyDescent="0.25">
      <c r="A1383" s="20" t="s">
        <v>35</v>
      </c>
      <c r="B1383" s="21" t="s">
        <v>25</v>
      </c>
      <c r="C1383" s="21" t="s">
        <v>26</v>
      </c>
      <c r="D1383" s="21" t="s">
        <v>27</v>
      </c>
      <c r="E1383" s="22" t="s">
        <v>23</v>
      </c>
      <c r="F1383" s="20" t="s">
        <v>27</v>
      </c>
      <c r="G1383" s="20" t="s">
        <v>27</v>
      </c>
    </row>
    <row r="1384" ht="22" customHeight="1" spans="1:7" x14ac:dyDescent="0.25">
      <c r="A1384" s="16" t="s">
        <v>36</v>
      </c>
      <c r="B1384" s="17" t="s">
        <v>32</v>
      </c>
      <c r="C1384" s="17" t="s">
        <v>630</v>
      </c>
      <c r="D1384" s="17" t="s">
        <v>34</v>
      </c>
      <c r="E1384" s="18">
        <v>37.5</v>
      </c>
      <c r="F1384" s="19" t="s">
        <v>22</v>
      </c>
      <c r="G1384" s="16" t="s">
        <v>23</v>
      </c>
    </row>
    <row r="1385" ht="24" customHeight="1" spans="1:7" x14ac:dyDescent="0.25">
      <c r="A1385" s="23" t="s">
        <v>38</v>
      </c>
      <c r="B1385" s="23" t="s">
        <v>39</v>
      </c>
      <c r="C1385" s="24" t="s">
        <v>40</v>
      </c>
      <c r="D1385" s="24" t="s">
        <v>41</v>
      </c>
      <c r="E1385" s="25">
        <f>SUM(E1378,E1380,E1382,E1384)</f>
        <v>100.7</v>
      </c>
      <c r="F1385" s="23" t="str">
        <f>ROUND(E1385/60, 1) &amp; " Saat"</f>
        <v>1.7 Saat</v>
      </c>
      <c r="G1385" s="23" t="str">
        <f>COUNTIF(G1378:G1384, "X") &amp; "/4"</f>
        <v>0/4</v>
      </c>
    </row>
    <row r="1386" ht="22" customHeight="1" spans="1:7" x14ac:dyDescent="0.25">
      <c r="A1386" s="15" t="s">
        <v>42</v>
      </c>
      <c r="B1386" s="15"/>
      <c r="C1386" s="15"/>
      <c r="D1386" s="15"/>
      <c r="E1386" s="15"/>
      <c r="F1386" s="15"/>
      <c r="G1386" s="15"/>
    </row>
    <row r="1387" ht="22" customHeight="1" spans="1:7" x14ac:dyDescent="0.25">
      <c r="A1387" s="16" t="s">
        <v>18</v>
      </c>
      <c r="B1387" s="17" t="s">
        <v>43</v>
      </c>
      <c r="C1387" s="17" t="s">
        <v>631</v>
      </c>
      <c r="D1387" s="17" t="s">
        <v>45</v>
      </c>
      <c r="E1387" s="18">
        <v>26.3</v>
      </c>
      <c r="F1387" s="19" t="s">
        <v>22</v>
      </c>
      <c r="G1387" s="16" t="s">
        <v>23</v>
      </c>
    </row>
    <row r="1388" ht="20" customHeight="1" spans="1:7" x14ac:dyDescent="0.25">
      <c r="A1388" s="20" t="s">
        <v>24</v>
      </c>
      <c r="B1388" s="21" t="s">
        <v>25</v>
      </c>
      <c r="C1388" s="21" t="s">
        <v>26</v>
      </c>
      <c r="D1388" s="21" t="s">
        <v>27</v>
      </c>
      <c r="E1388" s="22" t="s">
        <v>23</v>
      </c>
      <c r="F1388" s="20" t="s">
        <v>27</v>
      </c>
      <c r="G1388" s="20" t="s">
        <v>27</v>
      </c>
    </row>
    <row r="1389" ht="22" customHeight="1" spans="1:7" x14ac:dyDescent="0.25">
      <c r="A1389" s="16" t="s">
        <v>28</v>
      </c>
      <c r="B1389" s="17" t="s">
        <v>43</v>
      </c>
      <c r="C1389" s="17" t="s">
        <v>632</v>
      </c>
      <c r="D1389" s="17" t="s">
        <v>45</v>
      </c>
      <c r="E1389" s="18">
        <v>36.5</v>
      </c>
      <c r="F1389" s="19" t="s">
        <v>22</v>
      </c>
      <c r="G1389" s="16" t="s">
        <v>23</v>
      </c>
    </row>
    <row r="1390" ht="20" customHeight="1" spans="1:7" x14ac:dyDescent="0.25">
      <c r="A1390" s="20" t="s">
        <v>30</v>
      </c>
      <c r="B1390" s="21" t="s">
        <v>25</v>
      </c>
      <c r="C1390" s="21" t="s">
        <v>26</v>
      </c>
      <c r="D1390" s="21" t="s">
        <v>27</v>
      </c>
      <c r="E1390" s="22" t="s">
        <v>23</v>
      </c>
      <c r="F1390" s="20" t="s">
        <v>27</v>
      </c>
      <c r="G1390" s="20" t="s">
        <v>27</v>
      </c>
    </row>
    <row r="1391" ht="22" customHeight="1" spans="1:7" x14ac:dyDescent="0.25">
      <c r="A1391" s="16" t="s">
        <v>31</v>
      </c>
      <c r="B1391" s="17" t="s">
        <v>47</v>
      </c>
      <c r="C1391" s="17" t="s">
        <v>633</v>
      </c>
      <c r="D1391" s="17" t="s">
        <v>49</v>
      </c>
      <c r="E1391" s="18">
        <v>25.8</v>
      </c>
      <c r="F1391" s="19" t="s">
        <v>22</v>
      </c>
      <c r="G1391" s="16" t="s">
        <v>23</v>
      </c>
    </row>
    <row r="1392" ht="20" customHeight="1" spans="1:7" x14ac:dyDescent="0.25">
      <c r="A1392" s="20" t="s">
        <v>35</v>
      </c>
      <c r="B1392" s="21" t="s">
        <v>25</v>
      </c>
      <c r="C1392" s="21" t="s">
        <v>26</v>
      </c>
      <c r="D1392" s="21" t="s">
        <v>27</v>
      </c>
      <c r="E1392" s="22" t="s">
        <v>23</v>
      </c>
      <c r="F1392" s="20" t="s">
        <v>27</v>
      </c>
      <c r="G1392" s="20" t="s">
        <v>27</v>
      </c>
    </row>
    <row r="1393" ht="22" customHeight="1" spans="1:7" x14ac:dyDescent="0.25">
      <c r="A1393" s="16" t="s">
        <v>36</v>
      </c>
      <c r="B1393" s="17" t="s">
        <v>47</v>
      </c>
      <c r="C1393" s="17" t="s">
        <v>634</v>
      </c>
      <c r="D1393" s="17" t="s">
        <v>49</v>
      </c>
      <c r="E1393" s="18">
        <v>45.2</v>
      </c>
      <c r="F1393" s="19" t="s">
        <v>22</v>
      </c>
      <c r="G1393" s="16" t="s">
        <v>23</v>
      </c>
    </row>
    <row r="1394" ht="24" customHeight="1" spans="1:7" x14ac:dyDescent="0.25">
      <c r="A1394" s="23" t="s">
        <v>38</v>
      </c>
      <c r="B1394" s="23" t="s">
        <v>39</v>
      </c>
      <c r="C1394" s="24" t="s">
        <v>40</v>
      </c>
      <c r="D1394" s="24" t="s">
        <v>41</v>
      </c>
      <c r="E1394" s="25">
        <f>SUM(E1387,E1389,E1391,E1393)</f>
        <v>133.8</v>
      </c>
      <c r="F1394" s="23" t="str">
        <f>ROUND(E1394/60, 1) &amp; " Saat"</f>
        <v>2.2 Saat</v>
      </c>
      <c r="G1394" s="23" t="str">
        <f>COUNTIF(G1387:G1393, "X") &amp; "/4"</f>
        <v>0/4</v>
      </c>
    </row>
    <row r="1395" ht="22" customHeight="1" spans="1:7" x14ac:dyDescent="0.25">
      <c r="A1395" s="15" t="s">
        <v>51</v>
      </c>
      <c r="B1395" s="15"/>
      <c r="C1395" s="15"/>
      <c r="D1395" s="15"/>
      <c r="E1395" s="15"/>
      <c r="F1395" s="15"/>
      <c r="G1395" s="15"/>
    </row>
    <row r="1396" ht="22" customHeight="1" spans="1:7" x14ac:dyDescent="0.25">
      <c r="A1396" s="16" t="s">
        <v>18</v>
      </c>
      <c r="B1396" s="17" t="s">
        <v>52</v>
      </c>
      <c r="C1396" s="17" t="s">
        <v>467</v>
      </c>
      <c r="D1396" s="17" t="s">
        <v>23</v>
      </c>
      <c r="E1396" s="18">
        <v>40</v>
      </c>
      <c r="F1396" s="16" t="s">
        <v>27</v>
      </c>
      <c r="G1396" s="16" t="s">
        <v>23</v>
      </c>
    </row>
    <row r="1397" ht="20" customHeight="1" spans="1:7" x14ac:dyDescent="0.25">
      <c r="A1397" s="20" t="s">
        <v>24</v>
      </c>
      <c r="B1397" s="21" t="s">
        <v>25</v>
      </c>
      <c r="C1397" s="21" t="s">
        <v>26</v>
      </c>
      <c r="D1397" s="21" t="s">
        <v>27</v>
      </c>
      <c r="E1397" s="22" t="s">
        <v>23</v>
      </c>
      <c r="F1397" s="20" t="s">
        <v>27</v>
      </c>
      <c r="G1397" s="20" t="s">
        <v>27</v>
      </c>
    </row>
    <row r="1398" ht="22" customHeight="1" spans="1:7" x14ac:dyDescent="0.25">
      <c r="A1398" s="16" t="s">
        <v>28</v>
      </c>
      <c r="B1398" s="17" t="s">
        <v>52</v>
      </c>
      <c r="C1398" s="17" t="s">
        <v>467</v>
      </c>
      <c r="D1398" s="17" t="s">
        <v>23</v>
      </c>
      <c r="E1398" s="18">
        <v>40</v>
      </c>
      <c r="F1398" s="16" t="s">
        <v>27</v>
      </c>
      <c r="G1398" s="16" t="s">
        <v>23</v>
      </c>
    </row>
    <row r="1399" ht="20" customHeight="1" spans="1:7" x14ac:dyDescent="0.25">
      <c r="A1399" s="20" t="s">
        <v>30</v>
      </c>
      <c r="B1399" s="21" t="s">
        <v>25</v>
      </c>
      <c r="C1399" s="21" t="s">
        <v>26</v>
      </c>
      <c r="D1399" s="21" t="s">
        <v>27</v>
      </c>
      <c r="E1399" s="22" t="s">
        <v>23</v>
      </c>
      <c r="F1399" s="20" t="s">
        <v>27</v>
      </c>
      <c r="G1399" s="20" t="s">
        <v>27</v>
      </c>
    </row>
    <row r="1400" ht="22" customHeight="1" spans="1:7" x14ac:dyDescent="0.25">
      <c r="A1400" s="16" t="s">
        <v>31</v>
      </c>
      <c r="B1400" s="17" t="s">
        <v>56</v>
      </c>
      <c r="C1400" s="17" t="s">
        <v>467</v>
      </c>
      <c r="D1400" s="17" t="s">
        <v>23</v>
      </c>
      <c r="E1400" s="18">
        <v>40</v>
      </c>
      <c r="F1400" s="16" t="s">
        <v>27</v>
      </c>
      <c r="G1400" s="16" t="s">
        <v>23</v>
      </c>
    </row>
    <row r="1401" ht="20" customHeight="1" spans="1:7" x14ac:dyDescent="0.25">
      <c r="A1401" s="20" t="s">
        <v>35</v>
      </c>
      <c r="B1401" s="21" t="s">
        <v>25</v>
      </c>
      <c r="C1401" s="21" t="s">
        <v>26</v>
      </c>
      <c r="D1401" s="21" t="s">
        <v>27</v>
      </c>
      <c r="E1401" s="22" t="s">
        <v>23</v>
      </c>
      <c r="F1401" s="20" t="s">
        <v>27</v>
      </c>
      <c r="G1401" s="20" t="s">
        <v>27</v>
      </c>
    </row>
    <row r="1402" ht="22" customHeight="1" spans="1:7" x14ac:dyDescent="0.25">
      <c r="A1402" s="16" t="s">
        <v>36</v>
      </c>
      <c r="B1402" s="17" t="s">
        <v>56</v>
      </c>
      <c r="C1402" s="17" t="s">
        <v>467</v>
      </c>
      <c r="D1402" s="17" t="s">
        <v>23</v>
      </c>
      <c r="E1402" s="18">
        <v>40</v>
      </c>
      <c r="F1402" s="16" t="s">
        <v>27</v>
      </c>
      <c r="G1402" s="16" t="s">
        <v>23</v>
      </c>
    </row>
    <row r="1403" ht="24" customHeight="1" spans="1:7" x14ac:dyDescent="0.25">
      <c r="A1403" s="23" t="s">
        <v>38</v>
      </c>
      <c r="B1403" s="23" t="s">
        <v>39</v>
      </c>
      <c r="C1403" s="24" t="s">
        <v>40</v>
      </c>
      <c r="D1403" s="24" t="s">
        <v>41</v>
      </c>
      <c r="E1403" s="25">
        <f>SUM(E1396,E1398,E1400,E1402)</f>
        <v>160</v>
      </c>
      <c r="F1403" s="23" t="str">
        <f>ROUND(E1403/60, 1) &amp; " Saat"</f>
        <v>2.7 Saat</v>
      </c>
      <c r="G1403" s="23" t="str">
        <f>COUNTIF(G1396:G1402, "X") &amp; "/4"</f>
        <v>0/4</v>
      </c>
    </row>
    <row r="1404" ht="22" customHeight="1" spans="1:7" x14ac:dyDescent="0.25">
      <c r="A1404" s="15" t="s">
        <v>60</v>
      </c>
      <c r="B1404" s="15"/>
      <c r="C1404" s="15"/>
      <c r="D1404" s="15"/>
      <c r="E1404" s="15"/>
      <c r="F1404" s="15"/>
      <c r="G1404" s="15"/>
    </row>
    <row r="1405" ht="22" customHeight="1" spans="1:7" x14ac:dyDescent="0.25">
      <c r="A1405" s="16" t="s">
        <v>18</v>
      </c>
      <c r="B1405" s="17" t="s">
        <v>43</v>
      </c>
      <c r="C1405" s="17" t="s">
        <v>635</v>
      </c>
      <c r="D1405" s="17" t="s">
        <v>45</v>
      </c>
      <c r="E1405" s="18">
        <v>35.4</v>
      </c>
      <c r="F1405" s="19" t="s">
        <v>22</v>
      </c>
      <c r="G1405" s="16" t="s">
        <v>23</v>
      </c>
    </row>
    <row r="1406" ht="20" customHeight="1" spans="1:7" x14ac:dyDescent="0.25">
      <c r="A1406" s="20" t="s">
        <v>24</v>
      </c>
      <c r="B1406" s="21" t="s">
        <v>25</v>
      </c>
      <c r="C1406" s="21" t="s">
        <v>26</v>
      </c>
      <c r="D1406" s="21" t="s">
        <v>27</v>
      </c>
      <c r="E1406" s="22" t="s">
        <v>23</v>
      </c>
      <c r="F1406" s="20" t="s">
        <v>27</v>
      </c>
      <c r="G1406" s="20" t="s">
        <v>27</v>
      </c>
    </row>
    <row r="1407" ht="22" customHeight="1" spans="1:7" x14ac:dyDescent="0.25">
      <c r="A1407" s="16" t="s">
        <v>28</v>
      </c>
      <c r="B1407" s="17" t="s">
        <v>43</v>
      </c>
      <c r="C1407" s="17" t="s">
        <v>636</v>
      </c>
      <c r="D1407" s="17" t="s">
        <v>45</v>
      </c>
      <c r="E1407" s="18">
        <v>35.1</v>
      </c>
      <c r="F1407" s="19" t="s">
        <v>22</v>
      </c>
      <c r="G1407" s="16" t="s">
        <v>23</v>
      </c>
    </row>
    <row r="1408" ht="20" customHeight="1" spans="1:7" x14ac:dyDescent="0.25">
      <c r="A1408" s="20" t="s">
        <v>30</v>
      </c>
      <c r="B1408" s="21" t="s">
        <v>25</v>
      </c>
      <c r="C1408" s="21" t="s">
        <v>26</v>
      </c>
      <c r="D1408" s="21" t="s">
        <v>27</v>
      </c>
      <c r="E1408" s="22" t="s">
        <v>23</v>
      </c>
      <c r="F1408" s="20" t="s">
        <v>27</v>
      </c>
      <c r="G1408" s="20" t="s">
        <v>27</v>
      </c>
    </row>
    <row r="1409" ht="22" customHeight="1" spans="1:7" x14ac:dyDescent="0.25">
      <c r="A1409" s="16" t="s">
        <v>31</v>
      </c>
      <c r="B1409" s="17" t="s">
        <v>63</v>
      </c>
      <c r="C1409" s="17" t="s">
        <v>637</v>
      </c>
      <c r="D1409" s="17" t="s">
        <v>65</v>
      </c>
      <c r="E1409" s="18">
        <v>36.8</v>
      </c>
      <c r="F1409" s="19" t="s">
        <v>22</v>
      </c>
      <c r="G1409" s="16" t="s">
        <v>23</v>
      </c>
    </row>
    <row r="1410" ht="20" customHeight="1" spans="1:7" x14ac:dyDescent="0.25">
      <c r="A1410" s="20" t="s">
        <v>35</v>
      </c>
      <c r="B1410" s="21" t="s">
        <v>25</v>
      </c>
      <c r="C1410" s="21" t="s">
        <v>26</v>
      </c>
      <c r="D1410" s="21" t="s">
        <v>27</v>
      </c>
      <c r="E1410" s="22" t="s">
        <v>23</v>
      </c>
      <c r="F1410" s="20" t="s">
        <v>27</v>
      </c>
      <c r="G1410" s="20" t="s">
        <v>27</v>
      </c>
    </row>
    <row r="1411" ht="22" customHeight="1" spans="1:7" x14ac:dyDescent="0.25">
      <c r="A1411" s="16" t="s">
        <v>36</v>
      </c>
      <c r="B1411" s="17" t="s">
        <v>63</v>
      </c>
      <c r="C1411" s="17" t="s">
        <v>638</v>
      </c>
      <c r="D1411" s="17" t="s">
        <v>65</v>
      </c>
      <c r="E1411" s="18">
        <v>11.8</v>
      </c>
      <c r="F1411" s="19" t="s">
        <v>22</v>
      </c>
      <c r="G1411" s="16" t="s">
        <v>23</v>
      </c>
    </row>
    <row r="1412" ht="24" customHeight="1" spans="1:7" x14ac:dyDescent="0.25">
      <c r="A1412" s="23" t="s">
        <v>38</v>
      </c>
      <c r="B1412" s="23" t="s">
        <v>39</v>
      </c>
      <c r="C1412" s="24" t="s">
        <v>40</v>
      </c>
      <c r="D1412" s="24" t="s">
        <v>41</v>
      </c>
      <c r="E1412" s="25">
        <f>SUM(E1405,E1407,E1409,E1411)</f>
        <v>119.1</v>
      </c>
      <c r="F1412" s="23" t="str">
        <f>ROUND(E1412/60, 1) &amp; " Saat"</f>
        <v>2.0 Saat</v>
      </c>
      <c r="G1412" s="23" t="str">
        <f>COUNTIF(G1405:G1411, "X") &amp; "/4"</f>
        <v>0/4</v>
      </c>
    </row>
    <row r="1413" ht="22" customHeight="1" spans="1:7" x14ac:dyDescent="0.25">
      <c r="A1413" s="15" t="s">
        <v>67</v>
      </c>
      <c r="B1413" s="15"/>
      <c r="C1413" s="15"/>
      <c r="D1413" s="15"/>
      <c r="E1413" s="15"/>
      <c r="F1413" s="15"/>
      <c r="G1413" s="15"/>
    </row>
    <row r="1414" ht="22" customHeight="1" spans="1:7" x14ac:dyDescent="0.25">
      <c r="A1414" s="16" t="s">
        <v>18</v>
      </c>
      <c r="B1414" s="17" t="s">
        <v>68</v>
      </c>
      <c r="C1414" s="17" t="s">
        <v>639</v>
      </c>
      <c r="D1414" s="17" t="s">
        <v>70</v>
      </c>
      <c r="E1414" s="18">
        <v>32.3</v>
      </c>
      <c r="F1414" s="19" t="s">
        <v>22</v>
      </c>
      <c r="G1414" s="16" t="s">
        <v>23</v>
      </c>
    </row>
    <row r="1415" ht="20" customHeight="1" spans="1:7" x14ac:dyDescent="0.25">
      <c r="A1415" s="20" t="s">
        <v>24</v>
      </c>
      <c r="B1415" s="21" t="s">
        <v>25</v>
      </c>
      <c r="C1415" s="21" t="s">
        <v>26</v>
      </c>
      <c r="D1415" s="21" t="s">
        <v>27</v>
      </c>
      <c r="E1415" s="22" t="s">
        <v>23</v>
      </c>
      <c r="F1415" s="20" t="s">
        <v>27</v>
      </c>
      <c r="G1415" s="20" t="s">
        <v>27</v>
      </c>
    </row>
    <row r="1416" ht="22" customHeight="1" spans="1:7" x14ac:dyDescent="0.25">
      <c r="A1416" s="16" t="s">
        <v>28</v>
      </c>
      <c r="B1416" s="17" t="s">
        <v>68</v>
      </c>
      <c r="C1416" s="17" t="s">
        <v>640</v>
      </c>
      <c r="D1416" s="17" t="s">
        <v>70</v>
      </c>
      <c r="E1416" s="18">
        <v>36.2</v>
      </c>
      <c r="F1416" s="19" t="s">
        <v>22</v>
      </c>
      <c r="G1416" s="16" t="s">
        <v>23</v>
      </c>
    </row>
    <row r="1417" ht="20" customHeight="1" spans="1:7" x14ac:dyDescent="0.25">
      <c r="A1417" s="20" t="s">
        <v>30</v>
      </c>
      <c r="B1417" s="21" t="s">
        <v>25</v>
      </c>
      <c r="C1417" s="21" t="s">
        <v>26</v>
      </c>
      <c r="D1417" s="21" t="s">
        <v>27</v>
      </c>
      <c r="E1417" s="22" t="s">
        <v>23</v>
      </c>
      <c r="F1417" s="20" t="s">
        <v>27</v>
      </c>
      <c r="G1417" s="20" t="s">
        <v>27</v>
      </c>
    </row>
    <row r="1418" ht="22" customHeight="1" spans="1:7" x14ac:dyDescent="0.25">
      <c r="A1418" s="16" t="s">
        <v>31</v>
      </c>
      <c r="B1418" s="17" t="s">
        <v>449</v>
      </c>
      <c r="C1418" s="17" t="s">
        <v>641</v>
      </c>
      <c r="D1418" s="17" t="s">
        <v>34</v>
      </c>
      <c r="E1418" s="18">
        <v>65.4</v>
      </c>
      <c r="F1418" s="19" t="s">
        <v>22</v>
      </c>
      <c r="G1418" s="16" t="s">
        <v>23</v>
      </c>
    </row>
    <row r="1419" ht="20" customHeight="1" spans="1:7" x14ac:dyDescent="0.25">
      <c r="A1419" s="20" t="s">
        <v>35</v>
      </c>
      <c r="B1419" s="21" t="s">
        <v>25</v>
      </c>
      <c r="C1419" s="21" t="s">
        <v>26</v>
      </c>
      <c r="D1419" s="21" t="s">
        <v>27</v>
      </c>
      <c r="E1419" s="22" t="s">
        <v>23</v>
      </c>
      <c r="F1419" s="20" t="s">
        <v>27</v>
      </c>
      <c r="G1419" s="20" t="s">
        <v>27</v>
      </c>
    </row>
    <row r="1420" ht="22" customHeight="1" spans="1:7" x14ac:dyDescent="0.25">
      <c r="A1420" s="16" t="s">
        <v>36</v>
      </c>
      <c r="B1420" s="17" t="s">
        <v>449</v>
      </c>
      <c r="C1420" s="17" t="s">
        <v>642</v>
      </c>
      <c r="D1420" s="17" t="s">
        <v>34</v>
      </c>
      <c r="E1420" s="18">
        <v>19.2</v>
      </c>
      <c r="F1420" s="19" t="s">
        <v>22</v>
      </c>
      <c r="G1420" s="16" t="s">
        <v>23</v>
      </c>
    </row>
    <row r="1421" ht="24" customHeight="1" spans="1:7" x14ac:dyDescent="0.25">
      <c r="A1421" s="23" t="s">
        <v>38</v>
      </c>
      <c r="B1421" s="23" t="s">
        <v>39</v>
      </c>
      <c r="C1421" s="24" t="s">
        <v>40</v>
      </c>
      <c r="D1421" s="24" t="s">
        <v>41</v>
      </c>
      <c r="E1421" s="25">
        <f>SUM(E1414,E1416,E1418,E1420)</f>
        <v>153.1</v>
      </c>
      <c r="F1421" s="23" t="str">
        <f>ROUND(E1421/60, 1) &amp; " Saat"</f>
        <v>2.6 Saat</v>
      </c>
      <c r="G1421" s="23" t="str">
        <f>COUNTIF(G1414:G1420, "X") &amp; "/4"</f>
        <v>0/4</v>
      </c>
    </row>
    <row r="1422" ht="22" customHeight="1" spans="1:7" x14ac:dyDescent="0.25">
      <c r="A1422" s="15" t="s">
        <v>74</v>
      </c>
      <c r="B1422" s="15"/>
      <c r="C1422" s="15"/>
      <c r="D1422" s="15"/>
      <c r="E1422" s="15"/>
      <c r="F1422" s="15"/>
      <c r="G1422" s="15"/>
    </row>
    <row r="1423" ht="22" customHeight="1" spans="1:7" x14ac:dyDescent="0.25">
      <c r="A1423" s="16" t="s">
        <v>18</v>
      </c>
      <c r="B1423" s="17" t="s">
        <v>47</v>
      </c>
      <c r="C1423" s="17" t="s">
        <v>643</v>
      </c>
      <c r="D1423" s="17" t="s">
        <v>49</v>
      </c>
      <c r="E1423" s="18">
        <v>24.6</v>
      </c>
      <c r="F1423" s="19" t="s">
        <v>22</v>
      </c>
      <c r="G1423" s="16" t="s">
        <v>23</v>
      </c>
    </row>
    <row r="1424" ht="20" customHeight="1" spans="1:7" x14ac:dyDescent="0.25">
      <c r="A1424" s="20" t="s">
        <v>24</v>
      </c>
      <c r="B1424" s="21" t="s">
        <v>25</v>
      </c>
      <c r="C1424" s="21" t="s">
        <v>26</v>
      </c>
      <c r="D1424" s="21" t="s">
        <v>27</v>
      </c>
      <c r="E1424" s="22" t="s">
        <v>23</v>
      </c>
      <c r="F1424" s="20" t="s">
        <v>27</v>
      </c>
      <c r="G1424" s="20" t="s">
        <v>27</v>
      </c>
    </row>
    <row r="1425" ht="22" customHeight="1" spans="1:7" x14ac:dyDescent="0.25">
      <c r="A1425" s="16" t="s">
        <v>28</v>
      </c>
      <c r="B1425" s="17" t="s">
        <v>47</v>
      </c>
      <c r="C1425" s="17" t="s">
        <v>644</v>
      </c>
      <c r="D1425" s="17" t="s">
        <v>49</v>
      </c>
      <c r="E1425" s="18">
        <v>52.5</v>
      </c>
      <c r="F1425" s="19" t="s">
        <v>22</v>
      </c>
      <c r="G1425" s="16" t="s">
        <v>23</v>
      </c>
    </row>
    <row r="1426" ht="20" customHeight="1" spans="1:7" x14ac:dyDescent="0.25">
      <c r="A1426" s="20" t="s">
        <v>30</v>
      </c>
      <c r="B1426" s="21" t="s">
        <v>25</v>
      </c>
      <c r="C1426" s="21" t="s">
        <v>26</v>
      </c>
      <c r="D1426" s="21" t="s">
        <v>27</v>
      </c>
      <c r="E1426" s="22" t="s">
        <v>23</v>
      </c>
      <c r="F1426" s="20" t="s">
        <v>27</v>
      </c>
      <c r="G1426" s="20" t="s">
        <v>27</v>
      </c>
    </row>
    <row r="1427" ht="22" customHeight="1" spans="1:7" x14ac:dyDescent="0.25">
      <c r="A1427" s="16" t="s">
        <v>31</v>
      </c>
      <c r="B1427" s="17" t="s">
        <v>568</v>
      </c>
      <c r="C1427" s="17" t="s">
        <v>467</v>
      </c>
      <c r="D1427" s="17" t="s">
        <v>23</v>
      </c>
      <c r="E1427" s="18">
        <v>40</v>
      </c>
      <c r="F1427" s="16" t="s">
        <v>27</v>
      </c>
      <c r="G1427" s="16" t="s">
        <v>23</v>
      </c>
    </row>
    <row r="1428" ht="20" customHeight="1" spans="1:7" x14ac:dyDescent="0.25">
      <c r="A1428" s="20" t="s">
        <v>35</v>
      </c>
      <c r="B1428" s="21" t="s">
        <v>25</v>
      </c>
      <c r="C1428" s="21" t="s">
        <v>26</v>
      </c>
      <c r="D1428" s="21" t="s">
        <v>27</v>
      </c>
      <c r="E1428" s="22" t="s">
        <v>23</v>
      </c>
      <c r="F1428" s="20" t="s">
        <v>27</v>
      </c>
      <c r="G1428" s="20" t="s">
        <v>27</v>
      </c>
    </row>
    <row r="1429" ht="22" customHeight="1" spans="1:7" x14ac:dyDescent="0.25">
      <c r="A1429" s="16" t="s">
        <v>36</v>
      </c>
      <c r="B1429" s="17" t="s">
        <v>568</v>
      </c>
      <c r="C1429" s="17" t="s">
        <v>467</v>
      </c>
      <c r="D1429" s="17" t="s">
        <v>23</v>
      </c>
      <c r="E1429" s="18">
        <v>40</v>
      </c>
      <c r="F1429" s="16" t="s">
        <v>27</v>
      </c>
      <c r="G1429" s="16" t="s">
        <v>23</v>
      </c>
    </row>
    <row r="1430" ht="24" customHeight="1" spans="1:7" x14ac:dyDescent="0.25">
      <c r="A1430" s="23" t="s">
        <v>38</v>
      </c>
      <c r="B1430" s="23" t="s">
        <v>39</v>
      </c>
      <c r="C1430" s="24" t="s">
        <v>40</v>
      </c>
      <c r="D1430" s="24" t="s">
        <v>41</v>
      </c>
      <c r="E1430" s="25">
        <f>SUM(E1423,E1425,E1427,E1429)</f>
        <v>157.1</v>
      </c>
      <c r="F1430" s="23" t="str">
        <f>ROUND(E1430/60, 1) &amp; " Saat"</f>
        <v>2.6 Saat</v>
      </c>
      <c r="G1430" s="23" t="str">
        <f>COUNTIF(G1423:G1429, "X") &amp; "/4"</f>
        <v>0/4</v>
      </c>
    </row>
    <row r="1431" ht="28" customHeight="1" spans="1:7" x14ac:dyDescent="0.25">
      <c r="A1431" s="26" t="s">
        <v>79</v>
      </c>
      <c r="B1431" s="26"/>
      <c r="C1431" s="26"/>
      <c r="D1431" s="26"/>
      <c r="E1431" s="26"/>
      <c r="F1431" s="26"/>
      <c r="G1431" s="26"/>
    </row>
    <row r="1432" ht="8" customHeight="1" x14ac:dyDescent="0.25"/>
    <row r="1433" ht="25" customHeight="1" spans="1:7" x14ac:dyDescent="0.25">
      <c r="A1433" s="14" t="s">
        <v>645</v>
      </c>
      <c r="B1433" s="14"/>
      <c r="C1433" s="14"/>
      <c r="D1433" s="14"/>
      <c r="E1433" s="14"/>
      <c r="F1433" s="14"/>
      <c r="G1433" s="14"/>
    </row>
    <row r="1434" ht="22" customHeight="1" spans="1:7" x14ac:dyDescent="0.25">
      <c r="A1434" s="15" t="s">
        <v>17</v>
      </c>
      <c r="B1434" s="15"/>
      <c r="C1434" s="15"/>
      <c r="D1434" s="15"/>
      <c r="E1434" s="15"/>
      <c r="F1434" s="15"/>
      <c r="G1434" s="15"/>
    </row>
    <row r="1435" ht="22" customHeight="1" spans="1:7" x14ac:dyDescent="0.25">
      <c r="A1435" s="16" t="s">
        <v>18</v>
      </c>
      <c r="B1435" s="17" t="s">
        <v>19</v>
      </c>
      <c r="C1435" s="17" t="s">
        <v>646</v>
      </c>
      <c r="D1435" s="17" t="s">
        <v>21</v>
      </c>
      <c r="E1435" s="18">
        <v>11.8</v>
      </c>
      <c r="F1435" s="19" t="s">
        <v>22</v>
      </c>
      <c r="G1435" s="16" t="s">
        <v>23</v>
      </c>
    </row>
    <row r="1436" ht="20" customHeight="1" spans="1:7" x14ac:dyDescent="0.25">
      <c r="A1436" s="20" t="s">
        <v>24</v>
      </c>
      <c r="B1436" s="21" t="s">
        <v>25</v>
      </c>
      <c r="C1436" s="21" t="s">
        <v>26</v>
      </c>
      <c r="D1436" s="21" t="s">
        <v>27</v>
      </c>
      <c r="E1436" s="22" t="s">
        <v>23</v>
      </c>
      <c r="F1436" s="20" t="s">
        <v>27</v>
      </c>
      <c r="G1436" s="20" t="s">
        <v>27</v>
      </c>
    </row>
    <row r="1437" ht="22" customHeight="1" spans="1:7" x14ac:dyDescent="0.25">
      <c r="A1437" s="16" t="s">
        <v>28</v>
      </c>
      <c r="B1437" s="17" t="s">
        <v>19</v>
      </c>
      <c r="C1437" s="17" t="s">
        <v>647</v>
      </c>
      <c r="D1437" s="17" t="s">
        <v>21</v>
      </c>
      <c r="E1437" s="18">
        <v>4</v>
      </c>
      <c r="F1437" s="19" t="s">
        <v>22</v>
      </c>
      <c r="G1437" s="16" t="s">
        <v>23</v>
      </c>
    </row>
    <row r="1438" ht="20" customHeight="1" spans="1:7" x14ac:dyDescent="0.25">
      <c r="A1438" s="20" t="s">
        <v>30</v>
      </c>
      <c r="B1438" s="21" t="s">
        <v>25</v>
      </c>
      <c r="C1438" s="21" t="s">
        <v>26</v>
      </c>
      <c r="D1438" s="21" t="s">
        <v>27</v>
      </c>
      <c r="E1438" s="22" t="s">
        <v>23</v>
      </c>
      <c r="F1438" s="20" t="s">
        <v>27</v>
      </c>
      <c r="G1438" s="20" t="s">
        <v>27</v>
      </c>
    </row>
    <row r="1439" ht="22" customHeight="1" spans="1:7" x14ac:dyDescent="0.25">
      <c r="A1439" s="16" t="s">
        <v>31</v>
      </c>
      <c r="B1439" s="17" t="s">
        <v>32</v>
      </c>
      <c r="C1439" s="17" t="s">
        <v>648</v>
      </c>
      <c r="D1439" s="17" t="s">
        <v>34</v>
      </c>
      <c r="E1439" s="18">
        <v>43.4</v>
      </c>
      <c r="F1439" s="19" t="s">
        <v>22</v>
      </c>
      <c r="G1439" s="16" t="s">
        <v>23</v>
      </c>
    </row>
    <row r="1440" ht="20" customHeight="1" spans="1:7" x14ac:dyDescent="0.25">
      <c r="A1440" s="20" t="s">
        <v>35</v>
      </c>
      <c r="B1440" s="21" t="s">
        <v>25</v>
      </c>
      <c r="C1440" s="21" t="s">
        <v>26</v>
      </c>
      <c r="D1440" s="21" t="s">
        <v>27</v>
      </c>
      <c r="E1440" s="22" t="s">
        <v>23</v>
      </c>
      <c r="F1440" s="20" t="s">
        <v>27</v>
      </c>
      <c r="G1440" s="20" t="s">
        <v>27</v>
      </c>
    </row>
    <row r="1441" ht="22" customHeight="1" spans="1:7" x14ac:dyDescent="0.25">
      <c r="A1441" s="16" t="s">
        <v>36</v>
      </c>
      <c r="B1441" s="17" t="s">
        <v>32</v>
      </c>
      <c r="C1441" s="17" t="s">
        <v>649</v>
      </c>
      <c r="D1441" s="17" t="s">
        <v>34</v>
      </c>
      <c r="E1441" s="18">
        <v>29</v>
      </c>
      <c r="F1441" s="19" t="s">
        <v>22</v>
      </c>
      <c r="G1441" s="16" t="s">
        <v>23</v>
      </c>
    </row>
    <row r="1442" ht="24" customHeight="1" spans="1:7" x14ac:dyDescent="0.25">
      <c r="A1442" s="23" t="s">
        <v>38</v>
      </c>
      <c r="B1442" s="23" t="s">
        <v>39</v>
      </c>
      <c r="C1442" s="24" t="s">
        <v>40</v>
      </c>
      <c r="D1442" s="24" t="s">
        <v>41</v>
      </c>
      <c r="E1442" s="25">
        <f>SUM(E1435,E1437,E1439,E1441)</f>
        <v>88.2</v>
      </c>
      <c r="F1442" s="23" t="str">
        <f>ROUND(E1442/60, 1) &amp; " Saat"</f>
        <v>1.5 Saat</v>
      </c>
      <c r="G1442" s="23" t="str">
        <f>COUNTIF(G1435:G1441, "X") &amp; "/4"</f>
        <v>0/4</v>
      </c>
    </row>
    <row r="1443" ht="22" customHeight="1" spans="1:7" x14ac:dyDescent="0.25">
      <c r="A1443" s="15" t="s">
        <v>42</v>
      </c>
      <c r="B1443" s="15"/>
      <c r="C1443" s="15"/>
      <c r="D1443" s="15"/>
      <c r="E1443" s="15"/>
      <c r="F1443" s="15"/>
      <c r="G1443" s="15"/>
    </row>
    <row r="1444" ht="22" customHeight="1" spans="1:7" x14ac:dyDescent="0.25">
      <c r="A1444" s="16" t="s">
        <v>18</v>
      </c>
      <c r="B1444" s="17" t="s">
        <v>43</v>
      </c>
      <c r="C1444" s="17" t="s">
        <v>650</v>
      </c>
      <c r="D1444" s="17" t="s">
        <v>45</v>
      </c>
      <c r="E1444" s="18">
        <v>54.5</v>
      </c>
      <c r="F1444" s="19" t="s">
        <v>22</v>
      </c>
      <c r="G1444" s="16" t="s">
        <v>23</v>
      </c>
    </row>
    <row r="1445" ht="20" customHeight="1" spans="1:7" x14ac:dyDescent="0.25">
      <c r="A1445" s="20" t="s">
        <v>24</v>
      </c>
      <c r="B1445" s="21" t="s">
        <v>25</v>
      </c>
      <c r="C1445" s="21" t="s">
        <v>26</v>
      </c>
      <c r="D1445" s="21" t="s">
        <v>27</v>
      </c>
      <c r="E1445" s="22" t="s">
        <v>23</v>
      </c>
      <c r="F1445" s="20" t="s">
        <v>27</v>
      </c>
      <c r="G1445" s="20" t="s">
        <v>27</v>
      </c>
    </row>
    <row r="1446" ht="22" customHeight="1" spans="1:7" x14ac:dyDescent="0.25">
      <c r="A1446" s="16" t="s">
        <v>28</v>
      </c>
      <c r="B1446" s="17" t="s">
        <v>43</v>
      </c>
      <c r="C1446" s="17" t="s">
        <v>651</v>
      </c>
      <c r="D1446" s="17" t="s">
        <v>45</v>
      </c>
      <c r="E1446" s="18">
        <v>31.8</v>
      </c>
      <c r="F1446" s="19" t="s">
        <v>22</v>
      </c>
      <c r="G1446" s="16" t="s">
        <v>23</v>
      </c>
    </row>
    <row r="1447" ht="20" customHeight="1" spans="1:7" x14ac:dyDescent="0.25">
      <c r="A1447" s="20" t="s">
        <v>30</v>
      </c>
      <c r="B1447" s="21" t="s">
        <v>25</v>
      </c>
      <c r="C1447" s="21" t="s">
        <v>26</v>
      </c>
      <c r="D1447" s="21" t="s">
        <v>27</v>
      </c>
      <c r="E1447" s="22" t="s">
        <v>23</v>
      </c>
      <c r="F1447" s="20" t="s">
        <v>27</v>
      </c>
      <c r="G1447" s="20" t="s">
        <v>27</v>
      </c>
    </row>
    <row r="1448" ht="22" customHeight="1" spans="1:7" x14ac:dyDescent="0.25">
      <c r="A1448" s="16" t="s">
        <v>31</v>
      </c>
      <c r="B1448" s="17" t="s">
        <v>47</v>
      </c>
      <c r="C1448" s="17" t="s">
        <v>652</v>
      </c>
      <c r="D1448" s="17" t="s">
        <v>49</v>
      </c>
      <c r="E1448" s="18">
        <v>46.7</v>
      </c>
      <c r="F1448" s="19" t="s">
        <v>22</v>
      </c>
      <c r="G1448" s="16" t="s">
        <v>23</v>
      </c>
    </row>
    <row r="1449" ht="20" customHeight="1" spans="1:7" x14ac:dyDescent="0.25">
      <c r="A1449" s="20" t="s">
        <v>35</v>
      </c>
      <c r="B1449" s="21" t="s">
        <v>25</v>
      </c>
      <c r="C1449" s="21" t="s">
        <v>26</v>
      </c>
      <c r="D1449" s="21" t="s">
        <v>27</v>
      </c>
      <c r="E1449" s="22" t="s">
        <v>23</v>
      </c>
      <c r="F1449" s="20" t="s">
        <v>27</v>
      </c>
      <c r="G1449" s="20" t="s">
        <v>27</v>
      </c>
    </row>
    <row r="1450" ht="22" customHeight="1" spans="1:7" x14ac:dyDescent="0.25">
      <c r="A1450" s="16" t="s">
        <v>36</v>
      </c>
      <c r="B1450" s="17" t="s">
        <v>47</v>
      </c>
      <c r="C1450" s="17" t="s">
        <v>653</v>
      </c>
      <c r="D1450" s="17" t="s">
        <v>49</v>
      </c>
      <c r="E1450" s="18">
        <v>53.9</v>
      </c>
      <c r="F1450" s="19" t="s">
        <v>22</v>
      </c>
      <c r="G1450" s="16" t="s">
        <v>23</v>
      </c>
    </row>
    <row r="1451" ht="24" customHeight="1" spans="1:7" x14ac:dyDescent="0.25">
      <c r="A1451" s="23" t="s">
        <v>38</v>
      </c>
      <c r="B1451" s="23" t="s">
        <v>39</v>
      </c>
      <c r="C1451" s="24" t="s">
        <v>40</v>
      </c>
      <c r="D1451" s="24" t="s">
        <v>41</v>
      </c>
      <c r="E1451" s="25">
        <f>SUM(E1444,E1446,E1448,E1450)</f>
        <v>186.9</v>
      </c>
      <c r="F1451" s="23" t="str">
        <f>ROUND(E1451/60, 1) &amp; " Saat"</f>
        <v>3.1 Saat</v>
      </c>
      <c r="G1451" s="23" t="str">
        <f>COUNTIF(G1444:G1450, "X") &amp; "/4"</f>
        <v>0/4</v>
      </c>
    </row>
    <row r="1452" ht="22" customHeight="1" spans="1:7" x14ac:dyDescent="0.25">
      <c r="A1452" s="15" t="s">
        <v>51</v>
      </c>
      <c r="B1452" s="15"/>
      <c r="C1452" s="15"/>
      <c r="D1452" s="15"/>
      <c r="E1452" s="15"/>
      <c r="F1452" s="15"/>
      <c r="G1452" s="15"/>
    </row>
    <row r="1453" ht="22" customHeight="1" spans="1:7" x14ac:dyDescent="0.25">
      <c r="A1453" s="16" t="s">
        <v>18</v>
      </c>
      <c r="B1453" s="17" t="s">
        <v>52</v>
      </c>
      <c r="C1453" s="17" t="s">
        <v>467</v>
      </c>
      <c r="D1453" s="17" t="s">
        <v>23</v>
      </c>
      <c r="E1453" s="18">
        <v>40</v>
      </c>
      <c r="F1453" s="16" t="s">
        <v>27</v>
      </c>
      <c r="G1453" s="16" t="s">
        <v>23</v>
      </c>
    </row>
    <row r="1454" ht="20" customHeight="1" spans="1:7" x14ac:dyDescent="0.25">
      <c r="A1454" s="20" t="s">
        <v>24</v>
      </c>
      <c r="B1454" s="21" t="s">
        <v>25</v>
      </c>
      <c r="C1454" s="21" t="s">
        <v>26</v>
      </c>
      <c r="D1454" s="21" t="s">
        <v>27</v>
      </c>
      <c r="E1454" s="22" t="s">
        <v>23</v>
      </c>
      <c r="F1454" s="20" t="s">
        <v>27</v>
      </c>
      <c r="G1454" s="20" t="s">
        <v>27</v>
      </c>
    </row>
    <row r="1455" ht="22" customHeight="1" spans="1:7" x14ac:dyDescent="0.25">
      <c r="A1455" s="16" t="s">
        <v>28</v>
      </c>
      <c r="B1455" s="17" t="s">
        <v>52</v>
      </c>
      <c r="C1455" s="17" t="s">
        <v>467</v>
      </c>
      <c r="D1455" s="17" t="s">
        <v>23</v>
      </c>
      <c r="E1455" s="18">
        <v>40</v>
      </c>
      <c r="F1455" s="16" t="s">
        <v>27</v>
      </c>
      <c r="G1455" s="16" t="s">
        <v>23</v>
      </c>
    </row>
    <row r="1456" ht="20" customHeight="1" spans="1:7" x14ac:dyDescent="0.25">
      <c r="A1456" s="20" t="s">
        <v>30</v>
      </c>
      <c r="B1456" s="21" t="s">
        <v>25</v>
      </c>
      <c r="C1456" s="21" t="s">
        <v>26</v>
      </c>
      <c r="D1456" s="21" t="s">
        <v>27</v>
      </c>
      <c r="E1456" s="22" t="s">
        <v>23</v>
      </c>
      <c r="F1456" s="20" t="s">
        <v>27</v>
      </c>
      <c r="G1456" s="20" t="s">
        <v>27</v>
      </c>
    </row>
    <row r="1457" ht="22" customHeight="1" spans="1:7" x14ac:dyDescent="0.25">
      <c r="A1457" s="16" t="s">
        <v>31</v>
      </c>
      <c r="B1457" s="17" t="s">
        <v>56</v>
      </c>
      <c r="C1457" s="17" t="s">
        <v>467</v>
      </c>
      <c r="D1457" s="17" t="s">
        <v>23</v>
      </c>
      <c r="E1457" s="18">
        <v>40</v>
      </c>
      <c r="F1457" s="16" t="s">
        <v>27</v>
      </c>
      <c r="G1457" s="16" t="s">
        <v>23</v>
      </c>
    </row>
    <row r="1458" ht="20" customHeight="1" spans="1:7" x14ac:dyDescent="0.25">
      <c r="A1458" s="20" t="s">
        <v>35</v>
      </c>
      <c r="B1458" s="21" t="s">
        <v>25</v>
      </c>
      <c r="C1458" s="21" t="s">
        <v>26</v>
      </c>
      <c r="D1458" s="21" t="s">
        <v>27</v>
      </c>
      <c r="E1458" s="22" t="s">
        <v>23</v>
      </c>
      <c r="F1458" s="20" t="s">
        <v>27</v>
      </c>
      <c r="G1458" s="20" t="s">
        <v>27</v>
      </c>
    </row>
    <row r="1459" ht="22" customHeight="1" spans="1:7" x14ac:dyDescent="0.25">
      <c r="A1459" s="16" t="s">
        <v>36</v>
      </c>
      <c r="B1459" s="17" t="s">
        <v>56</v>
      </c>
      <c r="C1459" s="17" t="s">
        <v>467</v>
      </c>
      <c r="D1459" s="17" t="s">
        <v>23</v>
      </c>
      <c r="E1459" s="18">
        <v>40</v>
      </c>
      <c r="F1459" s="16" t="s">
        <v>27</v>
      </c>
      <c r="G1459" s="16" t="s">
        <v>23</v>
      </c>
    </row>
    <row r="1460" ht="24" customHeight="1" spans="1:7" x14ac:dyDescent="0.25">
      <c r="A1460" s="23" t="s">
        <v>38</v>
      </c>
      <c r="B1460" s="23" t="s">
        <v>39</v>
      </c>
      <c r="C1460" s="24" t="s">
        <v>40</v>
      </c>
      <c r="D1460" s="24" t="s">
        <v>41</v>
      </c>
      <c r="E1460" s="25">
        <f>SUM(E1453,E1455,E1457,E1459)</f>
        <v>160</v>
      </c>
      <c r="F1460" s="23" t="str">
        <f>ROUND(E1460/60, 1) &amp; " Saat"</f>
        <v>2.7 Saat</v>
      </c>
      <c r="G1460" s="23" t="str">
        <f>COUNTIF(G1453:G1459, "X") &amp; "/4"</f>
        <v>0/4</v>
      </c>
    </row>
    <row r="1461" ht="22" customHeight="1" spans="1:7" x14ac:dyDescent="0.25">
      <c r="A1461" s="15" t="s">
        <v>60</v>
      </c>
      <c r="B1461" s="15"/>
      <c r="C1461" s="15"/>
      <c r="D1461" s="15"/>
      <c r="E1461" s="15"/>
      <c r="F1461" s="15"/>
      <c r="G1461" s="15"/>
    </row>
    <row r="1462" ht="22" customHeight="1" spans="1:7" x14ac:dyDescent="0.25">
      <c r="A1462" s="16" t="s">
        <v>18</v>
      </c>
      <c r="B1462" s="17" t="s">
        <v>43</v>
      </c>
      <c r="C1462" s="17" t="s">
        <v>654</v>
      </c>
      <c r="D1462" s="17" t="s">
        <v>45</v>
      </c>
      <c r="E1462" s="18">
        <v>60.5</v>
      </c>
      <c r="F1462" s="19" t="s">
        <v>22</v>
      </c>
      <c r="G1462" s="16" t="s">
        <v>23</v>
      </c>
    </row>
    <row r="1463" ht="20" customHeight="1" spans="1:7" x14ac:dyDescent="0.25">
      <c r="A1463" s="20" t="s">
        <v>24</v>
      </c>
      <c r="B1463" s="21" t="s">
        <v>25</v>
      </c>
      <c r="C1463" s="21" t="s">
        <v>26</v>
      </c>
      <c r="D1463" s="21" t="s">
        <v>27</v>
      </c>
      <c r="E1463" s="22" t="s">
        <v>23</v>
      </c>
      <c r="F1463" s="20" t="s">
        <v>27</v>
      </c>
      <c r="G1463" s="20" t="s">
        <v>27</v>
      </c>
    </row>
    <row r="1464" ht="22" customHeight="1" spans="1:7" x14ac:dyDescent="0.25">
      <c r="A1464" s="16" t="s">
        <v>28</v>
      </c>
      <c r="B1464" s="17" t="s">
        <v>43</v>
      </c>
      <c r="C1464" s="17" t="s">
        <v>655</v>
      </c>
      <c r="D1464" s="17" t="s">
        <v>45</v>
      </c>
      <c r="E1464" s="18">
        <v>56.2</v>
      </c>
      <c r="F1464" s="19" t="s">
        <v>22</v>
      </c>
      <c r="G1464" s="16" t="s">
        <v>23</v>
      </c>
    </row>
    <row r="1465" ht="20" customHeight="1" spans="1:7" x14ac:dyDescent="0.25">
      <c r="A1465" s="20" t="s">
        <v>30</v>
      </c>
      <c r="B1465" s="21" t="s">
        <v>25</v>
      </c>
      <c r="C1465" s="21" t="s">
        <v>26</v>
      </c>
      <c r="D1465" s="21" t="s">
        <v>27</v>
      </c>
      <c r="E1465" s="22" t="s">
        <v>23</v>
      </c>
      <c r="F1465" s="20" t="s">
        <v>27</v>
      </c>
      <c r="G1465" s="20" t="s">
        <v>27</v>
      </c>
    </row>
    <row r="1466" ht="22" customHeight="1" spans="1:7" x14ac:dyDescent="0.25">
      <c r="A1466" s="16" t="s">
        <v>31</v>
      </c>
      <c r="B1466" s="17" t="s">
        <v>63</v>
      </c>
      <c r="C1466" s="17" t="s">
        <v>656</v>
      </c>
      <c r="D1466" s="17" t="s">
        <v>65</v>
      </c>
      <c r="E1466" s="18">
        <v>13.5</v>
      </c>
      <c r="F1466" s="19" t="s">
        <v>22</v>
      </c>
      <c r="G1466" s="16" t="s">
        <v>23</v>
      </c>
    </row>
    <row r="1467" ht="20" customHeight="1" spans="1:7" x14ac:dyDescent="0.25">
      <c r="A1467" s="20" t="s">
        <v>35</v>
      </c>
      <c r="B1467" s="21" t="s">
        <v>25</v>
      </c>
      <c r="C1467" s="21" t="s">
        <v>26</v>
      </c>
      <c r="D1467" s="21" t="s">
        <v>27</v>
      </c>
      <c r="E1467" s="22" t="s">
        <v>23</v>
      </c>
      <c r="F1467" s="20" t="s">
        <v>27</v>
      </c>
      <c r="G1467" s="20" t="s">
        <v>27</v>
      </c>
    </row>
    <row r="1468" ht="22" customHeight="1" spans="1:7" x14ac:dyDescent="0.25">
      <c r="A1468" s="16" t="s">
        <v>36</v>
      </c>
      <c r="B1468" s="17" t="s">
        <v>63</v>
      </c>
      <c r="C1468" s="17" t="s">
        <v>657</v>
      </c>
      <c r="D1468" s="17" t="s">
        <v>65</v>
      </c>
      <c r="E1468" s="18">
        <v>28.5</v>
      </c>
      <c r="F1468" s="19" t="s">
        <v>22</v>
      </c>
      <c r="G1468" s="16" t="s">
        <v>23</v>
      </c>
    </row>
    <row r="1469" ht="24" customHeight="1" spans="1:7" x14ac:dyDescent="0.25">
      <c r="A1469" s="23" t="s">
        <v>38</v>
      </c>
      <c r="B1469" s="23" t="s">
        <v>39</v>
      </c>
      <c r="C1469" s="24" t="s">
        <v>40</v>
      </c>
      <c r="D1469" s="24" t="s">
        <v>41</v>
      </c>
      <c r="E1469" s="25">
        <f>SUM(E1462,E1464,E1466,E1468)</f>
        <v>158.7</v>
      </c>
      <c r="F1469" s="23" t="str">
        <f>ROUND(E1469/60, 1) &amp; " Saat"</f>
        <v>2.6 Saat</v>
      </c>
      <c r="G1469" s="23" t="str">
        <f>COUNTIF(G1462:G1468, "X") &amp; "/4"</f>
        <v>0/4</v>
      </c>
    </row>
    <row r="1470" ht="22" customHeight="1" spans="1:7" x14ac:dyDescent="0.25">
      <c r="A1470" s="15" t="s">
        <v>67</v>
      </c>
      <c r="B1470" s="15"/>
      <c r="C1470" s="15"/>
      <c r="D1470" s="15"/>
      <c r="E1470" s="15"/>
      <c r="F1470" s="15"/>
      <c r="G1470" s="15"/>
    </row>
    <row r="1471" ht="22" customHeight="1" spans="1:7" x14ac:dyDescent="0.25">
      <c r="A1471" s="16" t="s">
        <v>18</v>
      </c>
      <c r="B1471" s="17" t="s">
        <v>68</v>
      </c>
      <c r="C1471" s="17" t="s">
        <v>658</v>
      </c>
      <c r="D1471" s="17" t="s">
        <v>70</v>
      </c>
      <c r="E1471" s="18">
        <v>27.6</v>
      </c>
      <c r="F1471" s="19" t="s">
        <v>22</v>
      </c>
      <c r="G1471" s="16" t="s">
        <v>23</v>
      </c>
    </row>
    <row r="1472" ht="20" customHeight="1" spans="1:7" x14ac:dyDescent="0.25">
      <c r="A1472" s="20" t="s">
        <v>24</v>
      </c>
      <c r="B1472" s="21" t="s">
        <v>25</v>
      </c>
      <c r="C1472" s="21" t="s">
        <v>26</v>
      </c>
      <c r="D1472" s="21" t="s">
        <v>27</v>
      </c>
      <c r="E1472" s="22" t="s">
        <v>23</v>
      </c>
      <c r="F1472" s="20" t="s">
        <v>27</v>
      </c>
      <c r="G1472" s="20" t="s">
        <v>27</v>
      </c>
    </row>
    <row r="1473" ht="22" customHeight="1" spans="1:7" x14ac:dyDescent="0.25">
      <c r="A1473" s="16" t="s">
        <v>28</v>
      </c>
      <c r="B1473" s="17" t="s">
        <v>68</v>
      </c>
      <c r="C1473" s="17" t="s">
        <v>659</v>
      </c>
      <c r="D1473" s="17" t="s">
        <v>70</v>
      </c>
      <c r="E1473" s="18">
        <v>30.7</v>
      </c>
      <c r="F1473" s="19" t="s">
        <v>22</v>
      </c>
      <c r="G1473" s="16" t="s">
        <v>23</v>
      </c>
    </row>
    <row r="1474" ht="20" customHeight="1" spans="1:7" x14ac:dyDescent="0.25">
      <c r="A1474" s="20" t="s">
        <v>30</v>
      </c>
      <c r="B1474" s="21" t="s">
        <v>25</v>
      </c>
      <c r="C1474" s="21" t="s">
        <v>26</v>
      </c>
      <c r="D1474" s="21" t="s">
        <v>27</v>
      </c>
      <c r="E1474" s="22" t="s">
        <v>23</v>
      </c>
      <c r="F1474" s="20" t="s">
        <v>27</v>
      </c>
      <c r="G1474" s="20" t="s">
        <v>27</v>
      </c>
    </row>
    <row r="1475" ht="22" customHeight="1" spans="1:7" x14ac:dyDescent="0.25">
      <c r="A1475" s="16" t="s">
        <v>31</v>
      </c>
      <c r="B1475" s="17" t="s">
        <v>449</v>
      </c>
      <c r="C1475" s="17" t="s">
        <v>660</v>
      </c>
      <c r="D1475" s="17" t="s">
        <v>34</v>
      </c>
      <c r="E1475" s="18">
        <v>47.6</v>
      </c>
      <c r="F1475" s="19" t="s">
        <v>22</v>
      </c>
      <c r="G1475" s="16" t="s">
        <v>23</v>
      </c>
    </row>
    <row r="1476" ht="20" customHeight="1" spans="1:7" x14ac:dyDescent="0.25">
      <c r="A1476" s="20" t="s">
        <v>35</v>
      </c>
      <c r="B1476" s="21" t="s">
        <v>25</v>
      </c>
      <c r="C1476" s="21" t="s">
        <v>26</v>
      </c>
      <c r="D1476" s="21" t="s">
        <v>27</v>
      </c>
      <c r="E1476" s="22" t="s">
        <v>23</v>
      </c>
      <c r="F1476" s="20" t="s">
        <v>27</v>
      </c>
      <c r="G1476" s="20" t="s">
        <v>27</v>
      </c>
    </row>
    <row r="1477" ht="22" customHeight="1" spans="1:7" x14ac:dyDescent="0.25">
      <c r="A1477" s="16" t="s">
        <v>36</v>
      </c>
      <c r="B1477" s="17" t="s">
        <v>449</v>
      </c>
      <c r="C1477" s="17" t="s">
        <v>661</v>
      </c>
      <c r="D1477" s="17" t="s">
        <v>34</v>
      </c>
      <c r="E1477" s="18">
        <v>39.5</v>
      </c>
      <c r="F1477" s="19" t="s">
        <v>22</v>
      </c>
      <c r="G1477" s="16" t="s">
        <v>23</v>
      </c>
    </row>
    <row r="1478" ht="24" customHeight="1" spans="1:7" x14ac:dyDescent="0.25">
      <c r="A1478" s="23" t="s">
        <v>38</v>
      </c>
      <c r="B1478" s="23" t="s">
        <v>39</v>
      </c>
      <c r="C1478" s="24" t="s">
        <v>40</v>
      </c>
      <c r="D1478" s="24" t="s">
        <v>41</v>
      </c>
      <c r="E1478" s="25">
        <f>SUM(E1471,E1473,E1475,E1477)</f>
        <v>145.4</v>
      </c>
      <c r="F1478" s="23" t="str">
        <f>ROUND(E1478/60, 1) &amp; " Saat"</f>
        <v>2.4 Saat</v>
      </c>
      <c r="G1478" s="23" t="str">
        <f>COUNTIF(G1471:G1477, "X") &amp; "/4"</f>
        <v>0/4</v>
      </c>
    </row>
    <row r="1479" ht="22" customHeight="1" spans="1:7" x14ac:dyDescent="0.25">
      <c r="A1479" s="15" t="s">
        <v>74</v>
      </c>
      <c r="B1479" s="15"/>
      <c r="C1479" s="15"/>
      <c r="D1479" s="15"/>
      <c r="E1479" s="15"/>
      <c r="F1479" s="15"/>
      <c r="G1479" s="15"/>
    </row>
    <row r="1480" ht="22" customHeight="1" spans="1:7" x14ac:dyDescent="0.25">
      <c r="A1480" s="16" t="s">
        <v>18</v>
      </c>
      <c r="B1480" s="17" t="s">
        <v>47</v>
      </c>
      <c r="C1480" s="17" t="s">
        <v>662</v>
      </c>
      <c r="D1480" s="17" t="s">
        <v>49</v>
      </c>
      <c r="E1480" s="18">
        <v>51.6</v>
      </c>
      <c r="F1480" s="19" t="s">
        <v>22</v>
      </c>
      <c r="G1480" s="16" t="s">
        <v>23</v>
      </c>
    </row>
    <row r="1481" ht="20" customHeight="1" spans="1:7" x14ac:dyDescent="0.25">
      <c r="A1481" s="20" t="s">
        <v>24</v>
      </c>
      <c r="B1481" s="21" t="s">
        <v>25</v>
      </c>
      <c r="C1481" s="21" t="s">
        <v>26</v>
      </c>
      <c r="D1481" s="21" t="s">
        <v>27</v>
      </c>
      <c r="E1481" s="22" t="s">
        <v>23</v>
      </c>
      <c r="F1481" s="20" t="s">
        <v>27</v>
      </c>
      <c r="G1481" s="20" t="s">
        <v>27</v>
      </c>
    </row>
    <row r="1482" ht="22" customHeight="1" spans="1:7" x14ac:dyDescent="0.25">
      <c r="A1482" s="16" t="s">
        <v>28</v>
      </c>
      <c r="B1482" s="17" t="s">
        <v>47</v>
      </c>
      <c r="C1482" s="17" t="s">
        <v>663</v>
      </c>
      <c r="D1482" s="17" t="s">
        <v>49</v>
      </c>
      <c r="E1482" s="18">
        <v>33.4</v>
      </c>
      <c r="F1482" s="19" t="s">
        <v>22</v>
      </c>
      <c r="G1482" s="16" t="s">
        <v>23</v>
      </c>
    </row>
    <row r="1483" ht="20" customHeight="1" spans="1:7" x14ac:dyDescent="0.25">
      <c r="A1483" s="20" t="s">
        <v>30</v>
      </c>
      <c r="B1483" s="21" t="s">
        <v>25</v>
      </c>
      <c r="C1483" s="21" t="s">
        <v>26</v>
      </c>
      <c r="D1483" s="21" t="s">
        <v>27</v>
      </c>
      <c r="E1483" s="22" t="s">
        <v>23</v>
      </c>
      <c r="F1483" s="20" t="s">
        <v>27</v>
      </c>
      <c r="G1483" s="20" t="s">
        <v>27</v>
      </c>
    </row>
    <row r="1484" ht="22" customHeight="1" spans="1:7" x14ac:dyDescent="0.25">
      <c r="A1484" s="16" t="s">
        <v>31</v>
      </c>
      <c r="B1484" s="17" t="s">
        <v>568</v>
      </c>
      <c r="C1484" s="17" t="s">
        <v>467</v>
      </c>
      <c r="D1484" s="17" t="s">
        <v>23</v>
      </c>
      <c r="E1484" s="18">
        <v>40</v>
      </c>
      <c r="F1484" s="16" t="s">
        <v>27</v>
      </c>
      <c r="G1484" s="16" t="s">
        <v>23</v>
      </c>
    </row>
    <row r="1485" ht="20" customHeight="1" spans="1:7" x14ac:dyDescent="0.25">
      <c r="A1485" s="20" t="s">
        <v>35</v>
      </c>
      <c r="B1485" s="21" t="s">
        <v>25</v>
      </c>
      <c r="C1485" s="21" t="s">
        <v>26</v>
      </c>
      <c r="D1485" s="21" t="s">
        <v>27</v>
      </c>
      <c r="E1485" s="22" t="s">
        <v>23</v>
      </c>
      <c r="F1485" s="20" t="s">
        <v>27</v>
      </c>
      <c r="G1485" s="20" t="s">
        <v>27</v>
      </c>
    </row>
    <row r="1486" ht="22" customHeight="1" spans="1:7" x14ac:dyDescent="0.25">
      <c r="A1486" s="16" t="s">
        <v>36</v>
      </c>
      <c r="B1486" s="17" t="s">
        <v>568</v>
      </c>
      <c r="C1486" s="17" t="s">
        <v>467</v>
      </c>
      <c r="D1486" s="17" t="s">
        <v>23</v>
      </c>
      <c r="E1486" s="18">
        <v>40</v>
      </c>
      <c r="F1486" s="16" t="s">
        <v>27</v>
      </c>
      <c r="G1486" s="16" t="s">
        <v>23</v>
      </c>
    </row>
    <row r="1487" ht="24" customHeight="1" spans="1:7" x14ac:dyDescent="0.25">
      <c r="A1487" s="23" t="s">
        <v>38</v>
      </c>
      <c r="B1487" s="23" t="s">
        <v>39</v>
      </c>
      <c r="C1487" s="24" t="s">
        <v>40</v>
      </c>
      <c r="D1487" s="24" t="s">
        <v>41</v>
      </c>
      <c r="E1487" s="25">
        <f>SUM(E1480,E1482,E1484,E1486)</f>
        <v>165</v>
      </c>
      <c r="F1487" s="23" t="str">
        <f>ROUND(E1487/60, 1) &amp; " Saat"</f>
        <v>2.8 Saat</v>
      </c>
      <c r="G1487" s="23" t="str">
        <f>COUNTIF(G1480:G1486, "X") &amp; "/4"</f>
        <v>0/4</v>
      </c>
    </row>
    <row r="1488" ht="28" customHeight="1" spans="1:7" x14ac:dyDescent="0.25">
      <c r="A1488" s="26" t="s">
        <v>79</v>
      </c>
      <c r="B1488" s="26"/>
      <c r="C1488" s="26"/>
      <c r="D1488" s="26"/>
      <c r="E1488" s="26"/>
      <c r="F1488" s="26"/>
      <c r="G1488" s="26"/>
    </row>
    <row r="1489" ht="8" customHeight="1" x14ac:dyDescent="0.25"/>
    <row r="1490" ht="25" customHeight="1" spans="1:7" x14ac:dyDescent="0.25">
      <c r="A1490" s="14" t="s">
        <v>664</v>
      </c>
      <c r="B1490" s="14"/>
      <c r="C1490" s="14"/>
      <c r="D1490" s="14"/>
      <c r="E1490" s="14"/>
      <c r="F1490" s="14"/>
      <c r="G1490" s="14"/>
    </row>
    <row r="1491" ht="22" customHeight="1" spans="1:7" x14ac:dyDescent="0.25">
      <c r="A1491" s="15" t="s">
        <v>17</v>
      </c>
      <c r="B1491" s="15"/>
      <c r="C1491" s="15"/>
      <c r="D1491" s="15"/>
      <c r="E1491" s="15"/>
      <c r="F1491" s="15"/>
      <c r="G1491" s="15"/>
    </row>
    <row r="1492" ht="22" customHeight="1" spans="1:7" x14ac:dyDescent="0.25">
      <c r="A1492" s="16" t="s">
        <v>18</v>
      </c>
      <c r="B1492" s="17" t="s">
        <v>19</v>
      </c>
      <c r="C1492" s="17" t="s">
        <v>665</v>
      </c>
      <c r="D1492" s="17" t="s">
        <v>21</v>
      </c>
      <c r="E1492" s="18">
        <v>17.3</v>
      </c>
      <c r="F1492" s="19" t="s">
        <v>22</v>
      </c>
      <c r="G1492" s="16" t="s">
        <v>23</v>
      </c>
    </row>
    <row r="1493" ht="20" customHeight="1" spans="1:7" x14ac:dyDescent="0.25">
      <c r="A1493" s="20" t="s">
        <v>24</v>
      </c>
      <c r="B1493" s="21" t="s">
        <v>25</v>
      </c>
      <c r="C1493" s="21" t="s">
        <v>26</v>
      </c>
      <c r="D1493" s="21" t="s">
        <v>27</v>
      </c>
      <c r="E1493" s="22" t="s">
        <v>23</v>
      </c>
      <c r="F1493" s="20" t="s">
        <v>27</v>
      </c>
      <c r="G1493" s="20" t="s">
        <v>27</v>
      </c>
    </row>
    <row r="1494" ht="22" customHeight="1" spans="1:7" x14ac:dyDescent="0.25">
      <c r="A1494" s="16" t="s">
        <v>28</v>
      </c>
      <c r="B1494" s="17" t="s">
        <v>19</v>
      </c>
      <c r="C1494" s="17" t="s">
        <v>666</v>
      </c>
      <c r="D1494" s="17" t="s">
        <v>21</v>
      </c>
      <c r="E1494" s="18">
        <v>18.8</v>
      </c>
      <c r="F1494" s="19" t="s">
        <v>22</v>
      </c>
      <c r="G1494" s="16" t="s">
        <v>23</v>
      </c>
    </row>
    <row r="1495" ht="20" customHeight="1" spans="1:7" x14ac:dyDescent="0.25">
      <c r="A1495" s="20" t="s">
        <v>30</v>
      </c>
      <c r="B1495" s="21" t="s">
        <v>25</v>
      </c>
      <c r="C1495" s="21" t="s">
        <v>26</v>
      </c>
      <c r="D1495" s="21" t="s">
        <v>27</v>
      </c>
      <c r="E1495" s="22" t="s">
        <v>23</v>
      </c>
      <c r="F1495" s="20" t="s">
        <v>27</v>
      </c>
      <c r="G1495" s="20" t="s">
        <v>27</v>
      </c>
    </row>
    <row r="1496" ht="22" customHeight="1" spans="1:7" x14ac:dyDescent="0.25">
      <c r="A1496" s="16" t="s">
        <v>31</v>
      </c>
      <c r="B1496" s="17" t="s">
        <v>32</v>
      </c>
      <c r="C1496" s="17" t="s">
        <v>667</v>
      </c>
      <c r="D1496" s="17" t="s">
        <v>34</v>
      </c>
      <c r="E1496" s="18">
        <v>70.8</v>
      </c>
      <c r="F1496" s="19" t="s">
        <v>22</v>
      </c>
      <c r="G1496" s="16" t="s">
        <v>23</v>
      </c>
    </row>
    <row r="1497" ht="20" customHeight="1" spans="1:7" x14ac:dyDescent="0.25">
      <c r="A1497" s="20" t="s">
        <v>35</v>
      </c>
      <c r="B1497" s="21" t="s">
        <v>25</v>
      </c>
      <c r="C1497" s="21" t="s">
        <v>26</v>
      </c>
      <c r="D1497" s="21" t="s">
        <v>27</v>
      </c>
      <c r="E1497" s="22" t="s">
        <v>23</v>
      </c>
      <c r="F1497" s="20" t="s">
        <v>27</v>
      </c>
      <c r="G1497" s="20" t="s">
        <v>27</v>
      </c>
    </row>
    <row r="1498" ht="22" customHeight="1" spans="1:7" x14ac:dyDescent="0.25">
      <c r="A1498" s="16" t="s">
        <v>36</v>
      </c>
      <c r="B1498" s="17" t="s">
        <v>32</v>
      </c>
      <c r="C1498" s="17" t="s">
        <v>668</v>
      </c>
      <c r="D1498" s="17" t="s">
        <v>34</v>
      </c>
      <c r="E1498" s="18">
        <v>40.6</v>
      </c>
      <c r="F1498" s="19" t="s">
        <v>22</v>
      </c>
      <c r="G1498" s="16" t="s">
        <v>23</v>
      </c>
    </row>
    <row r="1499" ht="24" customHeight="1" spans="1:7" x14ac:dyDescent="0.25">
      <c r="A1499" s="23" t="s">
        <v>38</v>
      </c>
      <c r="B1499" s="23" t="s">
        <v>39</v>
      </c>
      <c r="C1499" s="24" t="s">
        <v>40</v>
      </c>
      <c r="D1499" s="24" t="s">
        <v>41</v>
      </c>
      <c r="E1499" s="25">
        <f>SUM(E1492,E1494,E1496,E1498)</f>
        <v>147.5</v>
      </c>
      <c r="F1499" s="23" t="str">
        <f>ROUND(E1499/60, 1) &amp; " Saat"</f>
        <v>2.5 Saat</v>
      </c>
      <c r="G1499" s="23" t="str">
        <f>COUNTIF(G1492:G1498, "X") &amp; "/4"</f>
        <v>0/4</v>
      </c>
    </row>
    <row r="1500" ht="22" customHeight="1" spans="1:7" x14ac:dyDescent="0.25">
      <c r="A1500" s="15" t="s">
        <v>42</v>
      </c>
      <c r="B1500" s="15"/>
      <c r="C1500" s="15"/>
      <c r="D1500" s="15"/>
      <c r="E1500" s="15"/>
      <c r="F1500" s="15"/>
      <c r="G1500" s="15"/>
    </row>
    <row r="1501" ht="22" customHeight="1" spans="1:7" x14ac:dyDescent="0.25">
      <c r="A1501" s="16" t="s">
        <v>18</v>
      </c>
      <c r="B1501" s="17" t="s">
        <v>43</v>
      </c>
      <c r="C1501" s="17" t="s">
        <v>669</v>
      </c>
      <c r="D1501" s="17" t="s">
        <v>45</v>
      </c>
      <c r="E1501" s="18">
        <v>37.4</v>
      </c>
      <c r="F1501" s="19" t="s">
        <v>22</v>
      </c>
      <c r="G1501" s="16" t="s">
        <v>23</v>
      </c>
    </row>
    <row r="1502" ht="20" customHeight="1" spans="1:7" x14ac:dyDescent="0.25">
      <c r="A1502" s="20" t="s">
        <v>24</v>
      </c>
      <c r="B1502" s="21" t="s">
        <v>25</v>
      </c>
      <c r="C1502" s="21" t="s">
        <v>26</v>
      </c>
      <c r="D1502" s="21" t="s">
        <v>27</v>
      </c>
      <c r="E1502" s="22" t="s">
        <v>23</v>
      </c>
      <c r="F1502" s="20" t="s">
        <v>27</v>
      </c>
      <c r="G1502" s="20" t="s">
        <v>27</v>
      </c>
    </row>
    <row r="1503" ht="22" customHeight="1" spans="1:7" x14ac:dyDescent="0.25">
      <c r="A1503" s="16" t="s">
        <v>28</v>
      </c>
      <c r="B1503" s="17" t="s">
        <v>43</v>
      </c>
      <c r="C1503" s="17" t="s">
        <v>670</v>
      </c>
      <c r="D1503" s="17" t="s">
        <v>45</v>
      </c>
      <c r="E1503" s="18">
        <v>36.9</v>
      </c>
      <c r="F1503" s="19" t="s">
        <v>22</v>
      </c>
      <c r="G1503" s="16" t="s">
        <v>23</v>
      </c>
    </row>
    <row r="1504" ht="20" customHeight="1" spans="1:7" x14ac:dyDescent="0.25">
      <c r="A1504" s="20" t="s">
        <v>30</v>
      </c>
      <c r="B1504" s="21" t="s">
        <v>25</v>
      </c>
      <c r="C1504" s="21" t="s">
        <v>26</v>
      </c>
      <c r="D1504" s="21" t="s">
        <v>27</v>
      </c>
      <c r="E1504" s="22" t="s">
        <v>23</v>
      </c>
      <c r="F1504" s="20" t="s">
        <v>27</v>
      </c>
      <c r="G1504" s="20" t="s">
        <v>27</v>
      </c>
    </row>
    <row r="1505" ht="22" customHeight="1" spans="1:7" x14ac:dyDescent="0.25">
      <c r="A1505" s="16" t="s">
        <v>31</v>
      </c>
      <c r="B1505" s="17" t="s">
        <v>47</v>
      </c>
      <c r="C1505" s="17" t="s">
        <v>671</v>
      </c>
      <c r="D1505" s="17" t="s">
        <v>49</v>
      </c>
      <c r="E1505" s="18">
        <v>13.3</v>
      </c>
      <c r="F1505" s="19" t="s">
        <v>22</v>
      </c>
      <c r="G1505" s="16" t="s">
        <v>23</v>
      </c>
    </row>
    <row r="1506" ht="20" customHeight="1" spans="1:7" x14ac:dyDescent="0.25">
      <c r="A1506" s="20" t="s">
        <v>35</v>
      </c>
      <c r="B1506" s="21" t="s">
        <v>25</v>
      </c>
      <c r="C1506" s="21" t="s">
        <v>26</v>
      </c>
      <c r="D1506" s="21" t="s">
        <v>27</v>
      </c>
      <c r="E1506" s="22" t="s">
        <v>23</v>
      </c>
      <c r="F1506" s="20" t="s">
        <v>27</v>
      </c>
      <c r="G1506" s="20" t="s">
        <v>27</v>
      </c>
    </row>
    <row r="1507" ht="22" customHeight="1" spans="1:7" x14ac:dyDescent="0.25">
      <c r="A1507" s="16" t="s">
        <v>36</v>
      </c>
      <c r="B1507" s="17" t="s">
        <v>47</v>
      </c>
      <c r="C1507" s="17" t="s">
        <v>672</v>
      </c>
      <c r="D1507" s="17" t="s">
        <v>49</v>
      </c>
      <c r="E1507" s="18">
        <v>23.3</v>
      </c>
      <c r="F1507" s="19" t="s">
        <v>22</v>
      </c>
      <c r="G1507" s="16" t="s">
        <v>23</v>
      </c>
    </row>
    <row r="1508" ht="24" customHeight="1" spans="1:7" x14ac:dyDescent="0.25">
      <c r="A1508" s="23" t="s">
        <v>38</v>
      </c>
      <c r="B1508" s="23" t="s">
        <v>39</v>
      </c>
      <c r="C1508" s="24" t="s">
        <v>40</v>
      </c>
      <c r="D1508" s="24" t="s">
        <v>41</v>
      </c>
      <c r="E1508" s="25">
        <f>SUM(E1501,E1503,E1505,E1507)</f>
        <v>110.9</v>
      </c>
      <c r="F1508" s="23" t="str">
        <f>ROUND(E1508/60, 1) &amp; " Saat"</f>
        <v>1.8 Saat</v>
      </c>
      <c r="G1508" s="23" t="str">
        <f>COUNTIF(G1501:G1507, "X") &amp; "/4"</f>
        <v>0/4</v>
      </c>
    </row>
    <row r="1509" ht="22" customHeight="1" spans="1:7" x14ac:dyDescent="0.25">
      <c r="A1509" s="15" t="s">
        <v>51</v>
      </c>
      <c r="B1509" s="15"/>
      <c r="C1509" s="15"/>
      <c r="D1509" s="15"/>
      <c r="E1509" s="15"/>
      <c r="F1509" s="15"/>
      <c r="G1509" s="15"/>
    </row>
    <row r="1510" ht="22" customHeight="1" spans="1:7" x14ac:dyDescent="0.25">
      <c r="A1510" s="16" t="s">
        <v>18</v>
      </c>
      <c r="B1510" s="17" t="s">
        <v>52</v>
      </c>
      <c r="C1510" s="17" t="s">
        <v>467</v>
      </c>
      <c r="D1510" s="17" t="s">
        <v>23</v>
      </c>
      <c r="E1510" s="18">
        <v>40</v>
      </c>
      <c r="F1510" s="16" t="s">
        <v>27</v>
      </c>
      <c r="G1510" s="16" t="s">
        <v>23</v>
      </c>
    </row>
    <row r="1511" ht="20" customHeight="1" spans="1:7" x14ac:dyDescent="0.25">
      <c r="A1511" s="20" t="s">
        <v>24</v>
      </c>
      <c r="B1511" s="21" t="s">
        <v>25</v>
      </c>
      <c r="C1511" s="21" t="s">
        <v>26</v>
      </c>
      <c r="D1511" s="21" t="s">
        <v>27</v>
      </c>
      <c r="E1511" s="22" t="s">
        <v>23</v>
      </c>
      <c r="F1511" s="20" t="s">
        <v>27</v>
      </c>
      <c r="G1511" s="20" t="s">
        <v>27</v>
      </c>
    </row>
    <row r="1512" ht="22" customHeight="1" spans="1:7" x14ac:dyDescent="0.25">
      <c r="A1512" s="16" t="s">
        <v>28</v>
      </c>
      <c r="B1512" s="17" t="s">
        <v>52</v>
      </c>
      <c r="C1512" s="17" t="s">
        <v>467</v>
      </c>
      <c r="D1512" s="17" t="s">
        <v>23</v>
      </c>
      <c r="E1512" s="18">
        <v>40</v>
      </c>
      <c r="F1512" s="16" t="s">
        <v>27</v>
      </c>
      <c r="G1512" s="16" t="s">
        <v>23</v>
      </c>
    </row>
    <row r="1513" ht="20" customHeight="1" spans="1:7" x14ac:dyDescent="0.25">
      <c r="A1513" s="20" t="s">
        <v>30</v>
      </c>
      <c r="B1513" s="21" t="s">
        <v>25</v>
      </c>
      <c r="C1513" s="21" t="s">
        <v>26</v>
      </c>
      <c r="D1513" s="21" t="s">
        <v>27</v>
      </c>
      <c r="E1513" s="22" t="s">
        <v>23</v>
      </c>
      <c r="F1513" s="20" t="s">
        <v>27</v>
      </c>
      <c r="G1513" s="20" t="s">
        <v>27</v>
      </c>
    </row>
    <row r="1514" ht="22" customHeight="1" spans="1:7" x14ac:dyDescent="0.25">
      <c r="A1514" s="16" t="s">
        <v>31</v>
      </c>
      <c r="B1514" s="17" t="s">
        <v>56</v>
      </c>
      <c r="C1514" s="17" t="s">
        <v>467</v>
      </c>
      <c r="D1514" s="17" t="s">
        <v>23</v>
      </c>
      <c r="E1514" s="18">
        <v>40</v>
      </c>
      <c r="F1514" s="16" t="s">
        <v>27</v>
      </c>
      <c r="G1514" s="16" t="s">
        <v>23</v>
      </c>
    </row>
    <row r="1515" ht="20" customHeight="1" spans="1:7" x14ac:dyDescent="0.25">
      <c r="A1515" s="20" t="s">
        <v>35</v>
      </c>
      <c r="B1515" s="21" t="s">
        <v>25</v>
      </c>
      <c r="C1515" s="21" t="s">
        <v>26</v>
      </c>
      <c r="D1515" s="21" t="s">
        <v>27</v>
      </c>
      <c r="E1515" s="22" t="s">
        <v>23</v>
      </c>
      <c r="F1515" s="20" t="s">
        <v>27</v>
      </c>
      <c r="G1515" s="20" t="s">
        <v>27</v>
      </c>
    </row>
    <row r="1516" ht="22" customHeight="1" spans="1:7" x14ac:dyDescent="0.25">
      <c r="A1516" s="16" t="s">
        <v>36</v>
      </c>
      <c r="B1516" s="17" t="s">
        <v>56</v>
      </c>
      <c r="C1516" s="17" t="s">
        <v>467</v>
      </c>
      <c r="D1516" s="17" t="s">
        <v>23</v>
      </c>
      <c r="E1516" s="18">
        <v>40</v>
      </c>
      <c r="F1516" s="16" t="s">
        <v>27</v>
      </c>
      <c r="G1516" s="16" t="s">
        <v>23</v>
      </c>
    </row>
    <row r="1517" ht="24" customHeight="1" spans="1:7" x14ac:dyDescent="0.25">
      <c r="A1517" s="23" t="s">
        <v>38</v>
      </c>
      <c r="B1517" s="23" t="s">
        <v>39</v>
      </c>
      <c r="C1517" s="24" t="s">
        <v>40</v>
      </c>
      <c r="D1517" s="24" t="s">
        <v>41</v>
      </c>
      <c r="E1517" s="25">
        <f>SUM(E1510,E1512,E1514,E1516)</f>
        <v>160</v>
      </c>
      <c r="F1517" s="23" t="str">
        <f>ROUND(E1517/60, 1) &amp; " Saat"</f>
        <v>2.7 Saat</v>
      </c>
      <c r="G1517" s="23" t="str">
        <f>COUNTIF(G1510:G1516, "X") &amp; "/4"</f>
        <v>0/4</v>
      </c>
    </row>
    <row r="1518" ht="22" customHeight="1" spans="1:7" x14ac:dyDescent="0.25">
      <c r="A1518" s="15" t="s">
        <v>60</v>
      </c>
      <c r="B1518" s="15"/>
      <c r="C1518" s="15"/>
      <c r="D1518" s="15"/>
      <c r="E1518" s="15"/>
      <c r="F1518" s="15"/>
      <c r="G1518" s="15"/>
    </row>
    <row r="1519" ht="22" customHeight="1" spans="1:7" x14ac:dyDescent="0.25">
      <c r="A1519" s="16" t="s">
        <v>18</v>
      </c>
      <c r="B1519" s="17" t="s">
        <v>43</v>
      </c>
      <c r="C1519" s="17" t="s">
        <v>673</v>
      </c>
      <c r="D1519" s="17" t="s">
        <v>45</v>
      </c>
      <c r="E1519" s="18">
        <v>30.3</v>
      </c>
      <c r="F1519" s="19" t="s">
        <v>22</v>
      </c>
      <c r="G1519" s="16" t="s">
        <v>23</v>
      </c>
    </row>
    <row r="1520" ht="20" customHeight="1" spans="1:7" x14ac:dyDescent="0.25">
      <c r="A1520" s="20" t="s">
        <v>24</v>
      </c>
      <c r="B1520" s="21" t="s">
        <v>25</v>
      </c>
      <c r="C1520" s="21" t="s">
        <v>26</v>
      </c>
      <c r="D1520" s="21" t="s">
        <v>27</v>
      </c>
      <c r="E1520" s="22" t="s">
        <v>23</v>
      </c>
      <c r="F1520" s="20" t="s">
        <v>27</v>
      </c>
      <c r="G1520" s="20" t="s">
        <v>27</v>
      </c>
    </row>
    <row r="1521" ht="22" customHeight="1" spans="1:7" x14ac:dyDescent="0.25">
      <c r="A1521" s="16" t="s">
        <v>28</v>
      </c>
      <c r="B1521" s="17" t="s">
        <v>43</v>
      </c>
      <c r="C1521" s="17" t="s">
        <v>674</v>
      </c>
      <c r="D1521" s="17" t="s">
        <v>45</v>
      </c>
      <c r="E1521" s="18">
        <v>32.4</v>
      </c>
      <c r="F1521" s="19" t="s">
        <v>22</v>
      </c>
      <c r="G1521" s="16" t="s">
        <v>23</v>
      </c>
    </row>
    <row r="1522" ht="20" customHeight="1" spans="1:7" x14ac:dyDescent="0.25">
      <c r="A1522" s="20" t="s">
        <v>30</v>
      </c>
      <c r="B1522" s="21" t="s">
        <v>25</v>
      </c>
      <c r="C1522" s="21" t="s">
        <v>26</v>
      </c>
      <c r="D1522" s="21" t="s">
        <v>27</v>
      </c>
      <c r="E1522" s="22" t="s">
        <v>23</v>
      </c>
      <c r="F1522" s="20" t="s">
        <v>27</v>
      </c>
      <c r="G1522" s="20" t="s">
        <v>27</v>
      </c>
    </row>
    <row r="1523" ht="22" customHeight="1" spans="1:7" x14ac:dyDescent="0.25">
      <c r="A1523" s="16" t="s">
        <v>31</v>
      </c>
      <c r="B1523" s="17" t="s">
        <v>63</v>
      </c>
      <c r="C1523" s="17" t="s">
        <v>675</v>
      </c>
      <c r="D1523" s="17" t="s">
        <v>65</v>
      </c>
      <c r="E1523" s="18">
        <v>22.7</v>
      </c>
      <c r="F1523" s="19" t="s">
        <v>22</v>
      </c>
      <c r="G1523" s="16" t="s">
        <v>23</v>
      </c>
    </row>
    <row r="1524" ht="20" customHeight="1" spans="1:7" x14ac:dyDescent="0.25">
      <c r="A1524" s="20" t="s">
        <v>35</v>
      </c>
      <c r="B1524" s="21" t="s">
        <v>25</v>
      </c>
      <c r="C1524" s="21" t="s">
        <v>26</v>
      </c>
      <c r="D1524" s="21" t="s">
        <v>27</v>
      </c>
      <c r="E1524" s="22" t="s">
        <v>23</v>
      </c>
      <c r="F1524" s="20" t="s">
        <v>27</v>
      </c>
      <c r="G1524" s="20" t="s">
        <v>27</v>
      </c>
    </row>
    <row r="1525" ht="22" customHeight="1" spans="1:7" x14ac:dyDescent="0.25">
      <c r="A1525" s="16" t="s">
        <v>36</v>
      </c>
      <c r="B1525" s="17" t="s">
        <v>63</v>
      </c>
      <c r="C1525" s="17" t="s">
        <v>676</v>
      </c>
      <c r="D1525" s="17" t="s">
        <v>65</v>
      </c>
      <c r="E1525" s="18">
        <v>34.6</v>
      </c>
      <c r="F1525" s="19" t="s">
        <v>22</v>
      </c>
      <c r="G1525" s="16" t="s">
        <v>23</v>
      </c>
    </row>
    <row r="1526" ht="24" customHeight="1" spans="1:7" x14ac:dyDescent="0.25">
      <c r="A1526" s="23" t="s">
        <v>38</v>
      </c>
      <c r="B1526" s="23" t="s">
        <v>39</v>
      </c>
      <c r="C1526" s="24" t="s">
        <v>40</v>
      </c>
      <c r="D1526" s="24" t="s">
        <v>41</v>
      </c>
      <c r="E1526" s="25">
        <f>SUM(E1519,E1521,E1523,E1525)</f>
        <v>120</v>
      </c>
      <c r="F1526" s="23" t="str">
        <f>ROUND(E1526/60, 1) &amp; " Saat"</f>
        <v>2.0 Saat</v>
      </c>
      <c r="G1526" s="23" t="str">
        <f>COUNTIF(G1519:G1525, "X") &amp; "/4"</f>
        <v>0/4</v>
      </c>
    </row>
    <row r="1527" ht="22" customHeight="1" spans="1:7" x14ac:dyDescent="0.25">
      <c r="A1527" s="15" t="s">
        <v>67</v>
      </c>
      <c r="B1527" s="15"/>
      <c r="C1527" s="15"/>
      <c r="D1527" s="15"/>
      <c r="E1527" s="15"/>
      <c r="F1527" s="15"/>
      <c r="G1527" s="15"/>
    </row>
    <row r="1528" ht="22" customHeight="1" spans="1:7" x14ac:dyDescent="0.25">
      <c r="A1528" s="16" t="s">
        <v>18</v>
      </c>
      <c r="B1528" s="17" t="s">
        <v>68</v>
      </c>
      <c r="C1528" s="17" t="s">
        <v>677</v>
      </c>
      <c r="D1528" s="17" t="s">
        <v>70</v>
      </c>
      <c r="E1528" s="18">
        <v>75.1</v>
      </c>
      <c r="F1528" s="19" t="s">
        <v>22</v>
      </c>
      <c r="G1528" s="16" t="s">
        <v>23</v>
      </c>
    </row>
    <row r="1529" ht="20" customHeight="1" spans="1:7" x14ac:dyDescent="0.25">
      <c r="A1529" s="20" t="s">
        <v>24</v>
      </c>
      <c r="B1529" s="21" t="s">
        <v>25</v>
      </c>
      <c r="C1529" s="21" t="s">
        <v>26</v>
      </c>
      <c r="D1529" s="21" t="s">
        <v>27</v>
      </c>
      <c r="E1529" s="22" t="s">
        <v>23</v>
      </c>
      <c r="F1529" s="20" t="s">
        <v>27</v>
      </c>
      <c r="G1529" s="20" t="s">
        <v>27</v>
      </c>
    </row>
    <row r="1530" ht="22" customHeight="1" spans="1:7" x14ac:dyDescent="0.25">
      <c r="A1530" s="16" t="s">
        <v>28</v>
      </c>
      <c r="B1530" s="17" t="s">
        <v>68</v>
      </c>
      <c r="C1530" s="17" t="s">
        <v>678</v>
      </c>
      <c r="D1530" s="17" t="s">
        <v>70</v>
      </c>
      <c r="E1530" s="18">
        <v>44.5</v>
      </c>
      <c r="F1530" s="19" t="s">
        <v>22</v>
      </c>
      <c r="G1530" s="16" t="s">
        <v>23</v>
      </c>
    </row>
    <row r="1531" ht="20" customHeight="1" spans="1:7" x14ac:dyDescent="0.25">
      <c r="A1531" s="20" t="s">
        <v>30</v>
      </c>
      <c r="B1531" s="21" t="s">
        <v>25</v>
      </c>
      <c r="C1531" s="21" t="s">
        <v>26</v>
      </c>
      <c r="D1531" s="21" t="s">
        <v>27</v>
      </c>
      <c r="E1531" s="22" t="s">
        <v>23</v>
      </c>
      <c r="F1531" s="20" t="s">
        <v>27</v>
      </c>
      <c r="G1531" s="20" t="s">
        <v>27</v>
      </c>
    </row>
    <row r="1532" ht="22" customHeight="1" spans="1:7" x14ac:dyDescent="0.25">
      <c r="A1532" s="16" t="s">
        <v>31</v>
      </c>
      <c r="B1532" s="17" t="s">
        <v>449</v>
      </c>
      <c r="C1532" s="17" t="s">
        <v>679</v>
      </c>
      <c r="D1532" s="17" t="s">
        <v>34</v>
      </c>
      <c r="E1532" s="18">
        <v>19.1</v>
      </c>
      <c r="F1532" s="19" t="s">
        <v>22</v>
      </c>
      <c r="G1532" s="16" t="s">
        <v>23</v>
      </c>
    </row>
    <row r="1533" ht="20" customHeight="1" spans="1:7" x14ac:dyDescent="0.25">
      <c r="A1533" s="20" t="s">
        <v>35</v>
      </c>
      <c r="B1533" s="21" t="s">
        <v>25</v>
      </c>
      <c r="C1533" s="21" t="s">
        <v>26</v>
      </c>
      <c r="D1533" s="21" t="s">
        <v>27</v>
      </c>
      <c r="E1533" s="22" t="s">
        <v>23</v>
      </c>
      <c r="F1533" s="20" t="s">
        <v>27</v>
      </c>
      <c r="G1533" s="20" t="s">
        <v>27</v>
      </c>
    </row>
    <row r="1534" ht="22" customHeight="1" spans="1:7" x14ac:dyDescent="0.25">
      <c r="A1534" s="16" t="s">
        <v>36</v>
      </c>
      <c r="B1534" s="17" t="s">
        <v>449</v>
      </c>
      <c r="C1534" s="17" t="s">
        <v>680</v>
      </c>
      <c r="D1534" s="17" t="s">
        <v>34</v>
      </c>
      <c r="E1534" s="18">
        <v>42</v>
      </c>
      <c r="F1534" s="19" t="s">
        <v>22</v>
      </c>
      <c r="G1534" s="16" t="s">
        <v>23</v>
      </c>
    </row>
    <row r="1535" ht="24" customHeight="1" spans="1:7" x14ac:dyDescent="0.25">
      <c r="A1535" s="23" t="s">
        <v>38</v>
      </c>
      <c r="B1535" s="23" t="s">
        <v>39</v>
      </c>
      <c r="C1535" s="24" t="s">
        <v>40</v>
      </c>
      <c r="D1535" s="24" t="s">
        <v>41</v>
      </c>
      <c r="E1535" s="25">
        <f>SUM(E1528,E1530,E1532,E1534)</f>
        <v>180.7</v>
      </c>
      <c r="F1535" s="23" t="str">
        <f>ROUND(E1535/60, 1) &amp; " Saat"</f>
        <v>3.0 Saat</v>
      </c>
      <c r="G1535" s="23" t="str">
        <f>COUNTIF(G1528:G1534, "X") &amp; "/4"</f>
        <v>0/4</v>
      </c>
    </row>
    <row r="1536" ht="22" customHeight="1" spans="1:7" x14ac:dyDescent="0.25">
      <c r="A1536" s="15" t="s">
        <v>74</v>
      </c>
      <c r="B1536" s="15"/>
      <c r="C1536" s="15"/>
      <c r="D1536" s="15"/>
      <c r="E1536" s="15"/>
      <c r="F1536" s="15"/>
      <c r="G1536" s="15"/>
    </row>
    <row r="1537" ht="22" customHeight="1" spans="1:7" x14ac:dyDescent="0.25">
      <c r="A1537" s="16" t="s">
        <v>18</v>
      </c>
      <c r="B1537" s="17" t="s">
        <v>47</v>
      </c>
      <c r="C1537" s="17" t="s">
        <v>681</v>
      </c>
      <c r="D1537" s="17" t="s">
        <v>49</v>
      </c>
      <c r="E1537" s="18">
        <v>65</v>
      </c>
      <c r="F1537" s="19" t="s">
        <v>22</v>
      </c>
      <c r="G1537" s="16" t="s">
        <v>23</v>
      </c>
    </row>
    <row r="1538" ht="20" customHeight="1" spans="1:7" x14ac:dyDescent="0.25">
      <c r="A1538" s="20" t="s">
        <v>24</v>
      </c>
      <c r="B1538" s="21" t="s">
        <v>25</v>
      </c>
      <c r="C1538" s="21" t="s">
        <v>26</v>
      </c>
      <c r="D1538" s="21" t="s">
        <v>27</v>
      </c>
      <c r="E1538" s="22" t="s">
        <v>23</v>
      </c>
      <c r="F1538" s="20" t="s">
        <v>27</v>
      </c>
      <c r="G1538" s="20" t="s">
        <v>27</v>
      </c>
    </row>
    <row r="1539" ht="22" customHeight="1" spans="1:7" x14ac:dyDescent="0.25">
      <c r="A1539" s="16" t="s">
        <v>28</v>
      </c>
      <c r="B1539" s="17" t="s">
        <v>47</v>
      </c>
      <c r="C1539" s="17" t="s">
        <v>682</v>
      </c>
      <c r="D1539" s="17" t="s">
        <v>49</v>
      </c>
      <c r="E1539" s="18">
        <v>50.8</v>
      </c>
      <c r="F1539" s="19" t="s">
        <v>22</v>
      </c>
      <c r="G1539" s="16" t="s">
        <v>23</v>
      </c>
    </row>
    <row r="1540" ht="20" customHeight="1" spans="1:7" x14ac:dyDescent="0.25">
      <c r="A1540" s="20" t="s">
        <v>30</v>
      </c>
      <c r="B1540" s="21" t="s">
        <v>25</v>
      </c>
      <c r="C1540" s="21" t="s">
        <v>26</v>
      </c>
      <c r="D1540" s="21" t="s">
        <v>27</v>
      </c>
      <c r="E1540" s="22" t="s">
        <v>23</v>
      </c>
      <c r="F1540" s="20" t="s">
        <v>27</v>
      </c>
      <c r="G1540" s="20" t="s">
        <v>27</v>
      </c>
    </row>
    <row r="1541" ht="22" customHeight="1" spans="1:7" x14ac:dyDescent="0.25">
      <c r="A1541" s="16" t="s">
        <v>31</v>
      </c>
      <c r="B1541" s="17" t="s">
        <v>568</v>
      </c>
      <c r="C1541" s="17" t="s">
        <v>467</v>
      </c>
      <c r="D1541" s="17" t="s">
        <v>23</v>
      </c>
      <c r="E1541" s="18">
        <v>40</v>
      </c>
      <c r="F1541" s="16" t="s">
        <v>27</v>
      </c>
      <c r="G1541" s="16" t="s">
        <v>23</v>
      </c>
    </row>
    <row r="1542" ht="20" customHeight="1" spans="1:7" x14ac:dyDescent="0.25">
      <c r="A1542" s="20" t="s">
        <v>35</v>
      </c>
      <c r="B1542" s="21" t="s">
        <v>25</v>
      </c>
      <c r="C1542" s="21" t="s">
        <v>26</v>
      </c>
      <c r="D1542" s="21" t="s">
        <v>27</v>
      </c>
      <c r="E1542" s="22" t="s">
        <v>23</v>
      </c>
      <c r="F1542" s="20" t="s">
        <v>27</v>
      </c>
      <c r="G1542" s="20" t="s">
        <v>27</v>
      </c>
    </row>
    <row r="1543" ht="22" customHeight="1" spans="1:7" x14ac:dyDescent="0.25">
      <c r="A1543" s="16" t="s">
        <v>36</v>
      </c>
      <c r="B1543" s="17" t="s">
        <v>568</v>
      </c>
      <c r="C1543" s="17" t="s">
        <v>467</v>
      </c>
      <c r="D1543" s="17" t="s">
        <v>23</v>
      </c>
      <c r="E1543" s="18">
        <v>40</v>
      </c>
      <c r="F1543" s="16" t="s">
        <v>27</v>
      </c>
      <c r="G1543" s="16" t="s">
        <v>23</v>
      </c>
    </row>
    <row r="1544" ht="24" customHeight="1" spans="1:7" x14ac:dyDescent="0.25">
      <c r="A1544" s="23" t="s">
        <v>38</v>
      </c>
      <c r="B1544" s="23" t="s">
        <v>39</v>
      </c>
      <c r="C1544" s="24" t="s">
        <v>40</v>
      </c>
      <c r="D1544" s="24" t="s">
        <v>41</v>
      </c>
      <c r="E1544" s="25">
        <f>SUM(E1537,E1539,E1541,E1543)</f>
        <v>195.8</v>
      </c>
      <c r="F1544" s="23" t="str">
        <f>ROUND(E1544/60, 1) &amp; " Saat"</f>
        <v>3.3 Saat</v>
      </c>
      <c r="G1544" s="23" t="str">
        <f>COUNTIF(G1537:G1543, "X") &amp; "/4"</f>
        <v>0/4</v>
      </c>
    </row>
    <row r="1545" ht="28" customHeight="1" spans="1:7" x14ac:dyDescent="0.25">
      <c r="A1545" s="26" t="s">
        <v>79</v>
      </c>
      <c r="B1545" s="26"/>
      <c r="C1545" s="26"/>
      <c r="D1545" s="26"/>
      <c r="E1545" s="26"/>
      <c r="F1545" s="26"/>
      <c r="G1545" s="26"/>
    </row>
    <row r="1546" ht="8" customHeight="1" x14ac:dyDescent="0.25"/>
    <row r="1547" ht="25" customHeight="1" spans="1:7" x14ac:dyDescent="0.25">
      <c r="A1547" s="14" t="s">
        <v>683</v>
      </c>
      <c r="B1547" s="14"/>
      <c r="C1547" s="14"/>
      <c r="D1547" s="14"/>
      <c r="E1547" s="14"/>
      <c r="F1547" s="14"/>
      <c r="G1547" s="14"/>
    </row>
    <row r="1548" ht="22" customHeight="1" spans="1:7" x14ac:dyDescent="0.25">
      <c r="A1548" s="15" t="s">
        <v>17</v>
      </c>
      <c r="B1548" s="15"/>
      <c r="C1548" s="15"/>
      <c r="D1548" s="15"/>
      <c r="E1548" s="15"/>
      <c r="F1548" s="15"/>
      <c r="G1548" s="15"/>
    </row>
    <row r="1549" ht="22" customHeight="1" spans="1:7" x14ac:dyDescent="0.25">
      <c r="A1549" s="16" t="s">
        <v>18</v>
      </c>
      <c r="B1549" s="17" t="s">
        <v>19</v>
      </c>
      <c r="C1549" s="17" t="s">
        <v>684</v>
      </c>
      <c r="D1549" s="17" t="s">
        <v>21</v>
      </c>
      <c r="E1549" s="18">
        <v>29.1</v>
      </c>
      <c r="F1549" s="19" t="s">
        <v>22</v>
      </c>
      <c r="G1549" s="16" t="s">
        <v>23</v>
      </c>
    </row>
    <row r="1550" ht="20" customHeight="1" spans="1:7" x14ac:dyDescent="0.25">
      <c r="A1550" s="20" t="s">
        <v>24</v>
      </c>
      <c r="B1550" s="21" t="s">
        <v>25</v>
      </c>
      <c r="C1550" s="21" t="s">
        <v>26</v>
      </c>
      <c r="D1550" s="21" t="s">
        <v>27</v>
      </c>
      <c r="E1550" s="22" t="s">
        <v>23</v>
      </c>
      <c r="F1550" s="20" t="s">
        <v>27</v>
      </c>
      <c r="G1550" s="20" t="s">
        <v>27</v>
      </c>
    </row>
    <row r="1551" ht="22" customHeight="1" spans="1:7" x14ac:dyDescent="0.25">
      <c r="A1551" s="16" t="s">
        <v>28</v>
      </c>
      <c r="B1551" s="17" t="s">
        <v>19</v>
      </c>
      <c r="C1551" s="17" t="s">
        <v>685</v>
      </c>
      <c r="D1551" s="17" t="s">
        <v>21</v>
      </c>
      <c r="E1551" s="18">
        <v>43.3</v>
      </c>
      <c r="F1551" s="19" t="s">
        <v>22</v>
      </c>
      <c r="G1551" s="16" t="s">
        <v>23</v>
      </c>
    </row>
    <row r="1552" ht="20" customHeight="1" spans="1:7" x14ac:dyDescent="0.25">
      <c r="A1552" s="20" t="s">
        <v>30</v>
      </c>
      <c r="B1552" s="21" t="s">
        <v>25</v>
      </c>
      <c r="C1552" s="21" t="s">
        <v>26</v>
      </c>
      <c r="D1552" s="21" t="s">
        <v>27</v>
      </c>
      <c r="E1552" s="22" t="s">
        <v>23</v>
      </c>
      <c r="F1552" s="20" t="s">
        <v>27</v>
      </c>
      <c r="G1552" s="20" t="s">
        <v>27</v>
      </c>
    </row>
    <row r="1553" ht="22" customHeight="1" spans="1:7" x14ac:dyDescent="0.25">
      <c r="A1553" s="16" t="s">
        <v>31</v>
      </c>
      <c r="B1553" s="17" t="s">
        <v>32</v>
      </c>
      <c r="C1553" s="17" t="s">
        <v>686</v>
      </c>
      <c r="D1553" s="17" t="s">
        <v>34</v>
      </c>
      <c r="E1553" s="18">
        <v>57.9</v>
      </c>
      <c r="F1553" s="19" t="s">
        <v>22</v>
      </c>
      <c r="G1553" s="16" t="s">
        <v>23</v>
      </c>
    </row>
    <row r="1554" ht="20" customHeight="1" spans="1:7" x14ac:dyDescent="0.25">
      <c r="A1554" s="20" t="s">
        <v>35</v>
      </c>
      <c r="B1554" s="21" t="s">
        <v>25</v>
      </c>
      <c r="C1554" s="21" t="s">
        <v>26</v>
      </c>
      <c r="D1554" s="21" t="s">
        <v>27</v>
      </c>
      <c r="E1554" s="22" t="s">
        <v>23</v>
      </c>
      <c r="F1554" s="20" t="s">
        <v>27</v>
      </c>
      <c r="G1554" s="20" t="s">
        <v>27</v>
      </c>
    </row>
    <row r="1555" ht="22" customHeight="1" spans="1:7" x14ac:dyDescent="0.25">
      <c r="A1555" s="16" t="s">
        <v>36</v>
      </c>
      <c r="B1555" s="17" t="s">
        <v>32</v>
      </c>
      <c r="C1555" s="17" t="s">
        <v>687</v>
      </c>
      <c r="D1555" s="17" t="s">
        <v>34</v>
      </c>
      <c r="E1555" s="18">
        <v>29.9</v>
      </c>
      <c r="F1555" s="19" t="s">
        <v>22</v>
      </c>
      <c r="G1555" s="16" t="s">
        <v>23</v>
      </c>
    </row>
    <row r="1556" ht="24" customHeight="1" spans="1:7" x14ac:dyDescent="0.25">
      <c r="A1556" s="23" t="s">
        <v>38</v>
      </c>
      <c r="B1556" s="23" t="s">
        <v>39</v>
      </c>
      <c r="C1556" s="24" t="s">
        <v>40</v>
      </c>
      <c r="D1556" s="24" t="s">
        <v>41</v>
      </c>
      <c r="E1556" s="25">
        <f>SUM(E1549,E1551,E1553,E1555)</f>
        <v>160.2</v>
      </c>
      <c r="F1556" s="23" t="str">
        <f>ROUND(E1556/60, 1) &amp; " Saat"</f>
        <v>2.7 Saat</v>
      </c>
      <c r="G1556" s="23" t="str">
        <f>COUNTIF(G1549:G1555, "X") &amp; "/4"</f>
        <v>0/4</v>
      </c>
    </row>
    <row r="1557" ht="22" customHeight="1" spans="1:7" x14ac:dyDescent="0.25">
      <c r="A1557" s="15" t="s">
        <v>42</v>
      </c>
      <c r="B1557" s="15"/>
      <c r="C1557" s="15"/>
      <c r="D1557" s="15"/>
      <c r="E1557" s="15"/>
      <c r="F1557" s="15"/>
      <c r="G1557" s="15"/>
    </row>
    <row r="1558" ht="22" customHeight="1" spans="1:7" x14ac:dyDescent="0.25">
      <c r="A1558" s="16" t="s">
        <v>18</v>
      </c>
      <c r="B1558" s="17" t="s">
        <v>43</v>
      </c>
      <c r="C1558" s="17" t="s">
        <v>688</v>
      </c>
      <c r="D1558" s="17" t="s">
        <v>45</v>
      </c>
      <c r="E1558" s="18">
        <v>20.2</v>
      </c>
      <c r="F1558" s="19" t="s">
        <v>22</v>
      </c>
      <c r="G1558" s="16" t="s">
        <v>23</v>
      </c>
    </row>
    <row r="1559" ht="20" customHeight="1" spans="1:7" x14ac:dyDescent="0.25">
      <c r="A1559" s="20" t="s">
        <v>24</v>
      </c>
      <c r="B1559" s="21" t="s">
        <v>25</v>
      </c>
      <c r="C1559" s="21" t="s">
        <v>26</v>
      </c>
      <c r="D1559" s="21" t="s">
        <v>27</v>
      </c>
      <c r="E1559" s="22" t="s">
        <v>23</v>
      </c>
      <c r="F1559" s="20" t="s">
        <v>27</v>
      </c>
      <c r="G1559" s="20" t="s">
        <v>27</v>
      </c>
    </row>
    <row r="1560" ht="22" customHeight="1" spans="1:7" x14ac:dyDescent="0.25">
      <c r="A1560" s="16" t="s">
        <v>28</v>
      </c>
      <c r="B1560" s="17" t="s">
        <v>43</v>
      </c>
      <c r="C1560" s="17" t="s">
        <v>689</v>
      </c>
      <c r="D1560" s="17" t="s">
        <v>45</v>
      </c>
      <c r="E1560" s="18">
        <v>42.3</v>
      </c>
      <c r="F1560" s="19" t="s">
        <v>22</v>
      </c>
      <c r="G1560" s="16" t="s">
        <v>23</v>
      </c>
    </row>
    <row r="1561" ht="20" customHeight="1" spans="1:7" x14ac:dyDescent="0.25">
      <c r="A1561" s="20" t="s">
        <v>30</v>
      </c>
      <c r="B1561" s="21" t="s">
        <v>25</v>
      </c>
      <c r="C1561" s="21" t="s">
        <v>26</v>
      </c>
      <c r="D1561" s="21" t="s">
        <v>27</v>
      </c>
      <c r="E1561" s="22" t="s">
        <v>23</v>
      </c>
      <c r="F1561" s="20" t="s">
        <v>27</v>
      </c>
      <c r="G1561" s="20" t="s">
        <v>27</v>
      </c>
    </row>
    <row r="1562" ht="22" customHeight="1" spans="1:7" x14ac:dyDescent="0.25">
      <c r="A1562" s="16" t="s">
        <v>31</v>
      </c>
      <c r="B1562" s="17" t="s">
        <v>47</v>
      </c>
      <c r="C1562" s="17" t="s">
        <v>690</v>
      </c>
      <c r="D1562" s="17" t="s">
        <v>49</v>
      </c>
      <c r="E1562" s="18">
        <v>48.6</v>
      </c>
      <c r="F1562" s="19" t="s">
        <v>22</v>
      </c>
      <c r="G1562" s="16" t="s">
        <v>23</v>
      </c>
    </row>
    <row r="1563" ht="20" customHeight="1" spans="1:7" x14ac:dyDescent="0.25">
      <c r="A1563" s="20" t="s">
        <v>35</v>
      </c>
      <c r="B1563" s="21" t="s">
        <v>25</v>
      </c>
      <c r="C1563" s="21" t="s">
        <v>26</v>
      </c>
      <c r="D1563" s="21" t="s">
        <v>27</v>
      </c>
      <c r="E1563" s="22" t="s">
        <v>23</v>
      </c>
      <c r="F1563" s="20" t="s">
        <v>27</v>
      </c>
      <c r="G1563" s="20" t="s">
        <v>27</v>
      </c>
    </row>
    <row r="1564" ht="22" customHeight="1" spans="1:7" x14ac:dyDescent="0.25">
      <c r="A1564" s="16" t="s">
        <v>36</v>
      </c>
      <c r="B1564" s="17" t="s">
        <v>47</v>
      </c>
      <c r="C1564" s="17" t="s">
        <v>691</v>
      </c>
      <c r="D1564" s="17" t="s">
        <v>49</v>
      </c>
      <c r="E1564" s="18">
        <v>53.5</v>
      </c>
      <c r="F1564" s="19" t="s">
        <v>22</v>
      </c>
      <c r="G1564" s="16" t="s">
        <v>23</v>
      </c>
    </row>
    <row r="1565" ht="24" customHeight="1" spans="1:7" x14ac:dyDescent="0.25">
      <c r="A1565" s="23" t="s">
        <v>38</v>
      </c>
      <c r="B1565" s="23" t="s">
        <v>39</v>
      </c>
      <c r="C1565" s="24" t="s">
        <v>40</v>
      </c>
      <c r="D1565" s="24" t="s">
        <v>41</v>
      </c>
      <c r="E1565" s="25">
        <f>SUM(E1558,E1560,E1562,E1564)</f>
        <v>164.6</v>
      </c>
      <c r="F1565" s="23" t="str">
        <f>ROUND(E1565/60, 1) &amp; " Saat"</f>
        <v>2.7 Saat</v>
      </c>
      <c r="G1565" s="23" t="str">
        <f>COUNTIF(G1558:G1564, "X") &amp; "/4"</f>
        <v>0/4</v>
      </c>
    </row>
    <row r="1566" ht="22" customHeight="1" spans="1:7" x14ac:dyDescent="0.25">
      <c r="A1566" s="15" t="s">
        <v>51</v>
      </c>
      <c r="B1566" s="15"/>
      <c r="C1566" s="15"/>
      <c r="D1566" s="15"/>
      <c r="E1566" s="15"/>
      <c r="F1566" s="15"/>
      <c r="G1566" s="15"/>
    </row>
    <row r="1567" ht="22" customHeight="1" spans="1:7" x14ac:dyDescent="0.25">
      <c r="A1567" s="16" t="s">
        <v>18</v>
      </c>
      <c r="B1567" s="17" t="s">
        <v>52</v>
      </c>
      <c r="C1567" s="17" t="s">
        <v>467</v>
      </c>
      <c r="D1567" s="17" t="s">
        <v>23</v>
      </c>
      <c r="E1567" s="18">
        <v>40</v>
      </c>
      <c r="F1567" s="16" t="s">
        <v>27</v>
      </c>
      <c r="G1567" s="16" t="s">
        <v>23</v>
      </c>
    </row>
    <row r="1568" ht="20" customHeight="1" spans="1:7" x14ac:dyDescent="0.25">
      <c r="A1568" s="20" t="s">
        <v>24</v>
      </c>
      <c r="B1568" s="21" t="s">
        <v>25</v>
      </c>
      <c r="C1568" s="21" t="s">
        <v>26</v>
      </c>
      <c r="D1568" s="21" t="s">
        <v>27</v>
      </c>
      <c r="E1568" s="22" t="s">
        <v>23</v>
      </c>
      <c r="F1568" s="20" t="s">
        <v>27</v>
      </c>
      <c r="G1568" s="20" t="s">
        <v>27</v>
      </c>
    </row>
    <row r="1569" ht="22" customHeight="1" spans="1:7" x14ac:dyDescent="0.25">
      <c r="A1569" s="16" t="s">
        <v>28</v>
      </c>
      <c r="B1569" s="17" t="s">
        <v>52</v>
      </c>
      <c r="C1569" s="17" t="s">
        <v>467</v>
      </c>
      <c r="D1569" s="17" t="s">
        <v>23</v>
      </c>
      <c r="E1569" s="18">
        <v>40</v>
      </c>
      <c r="F1569" s="16" t="s">
        <v>27</v>
      </c>
      <c r="G1569" s="16" t="s">
        <v>23</v>
      </c>
    </row>
    <row r="1570" ht="20" customHeight="1" spans="1:7" x14ac:dyDescent="0.25">
      <c r="A1570" s="20" t="s">
        <v>30</v>
      </c>
      <c r="B1570" s="21" t="s">
        <v>25</v>
      </c>
      <c r="C1570" s="21" t="s">
        <v>26</v>
      </c>
      <c r="D1570" s="21" t="s">
        <v>27</v>
      </c>
      <c r="E1570" s="22" t="s">
        <v>23</v>
      </c>
      <c r="F1570" s="20" t="s">
        <v>27</v>
      </c>
      <c r="G1570" s="20" t="s">
        <v>27</v>
      </c>
    </row>
    <row r="1571" ht="22" customHeight="1" spans="1:7" x14ac:dyDescent="0.25">
      <c r="A1571" s="16" t="s">
        <v>31</v>
      </c>
      <c r="B1571" s="17" t="s">
        <v>56</v>
      </c>
      <c r="C1571" s="17" t="s">
        <v>467</v>
      </c>
      <c r="D1571" s="17" t="s">
        <v>23</v>
      </c>
      <c r="E1571" s="18">
        <v>40</v>
      </c>
      <c r="F1571" s="16" t="s">
        <v>27</v>
      </c>
      <c r="G1571" s="16" t="s">
        <v>23</v>
      </c>
    </row>
    <row r="1572" ht="20" customHeight="1" spans="1:7" x14ac:dyDescent="0.25">
      <c r="A1572" s="20" t="s">
        <v>35</v>
      </c>
      <c r="B1572" s="21" t="s">
        <v>25</v>
      </c>
      <c r="C1572" s="21" t="s">
        <v>26</v>
      </c>
      <c r="D1572" s="21" t="s">
        <v>27</v>
      </c>
      <c r="E1572" s="22" t="s">
        <v>23</v>
      </c>
      <c r="F1572" s="20" t="s">
        <v>27</v>
      </c>
      <c r="G1572" s="20" t="s">
        <v>27</v>
      </c>
    </row>
    <row r="1573" ht="22" customHeight="1" spans="1:7" x14ac:dyDescent="0.25">
      <c r="A1573" s="16" t="s">
        <v>36</v>
      </c>
      <c r="B1573" s="17" t="s">
        <v>56</v>
      </c>
      <c r="C1573" s="17" t="s">
        <v>467</v>
      </c>
      <c r="D1573" s="17" t="s">
        <v>23</v>
      </c>
      <c r="E1573" s="18">
        <v>40</v>
      </c>
      <c r="F1573" s="16" t="s">
        <v>27</v>
      </c>
      <c r="G1573" s="16" t="s">
        <v>23</v>
      </c>
    </row>
    <row r="1574" ht="24" customHeight="1" spans="1:7" x14ac:dyDescent="0.25">
      <c r="A1574" s="23" t="s">
        <v>38</v>
      </c>
      <c r="B1574" s="23" t="s">
        <v>39</v>
      </c>
      <c r="C1574" s="24" t="s">
        <v>40</v>
      </c>
      <c r="D1574" s="24" t="s">
        <v>41</v>
      </c>
      <c r="E1574" s="25">
        <f>SUM(E1567,E1569,E1571,E1573)</f>
        <v>160</v>
      </c>
      <c r="F1574" s="23" t="str">
        <f>ROUND(E1574/60, 1) &amp; " Saat"</f>
        <v>2.7 Saat</v>
      </c>
      <c r="G1574" s="23" t="str">
        <f>COUNTIF(G1567:G1573, "X") &amp; "/4"</f>
        <v>0/4</v>
      </c>
    </row>
    <row r="1575" ht="22" customHeight="1" spans="1:7" x14ac:dyDescent="0.25">
      <c r="A1575" s="15" t="s">
        <v>60</v>
      </c>
      <c r="B1575" s="15"/>
      <c r="C1575" s="15"/>
      <c r="D1575" s="15"/>
      <c r="E1575" s="15"/>
      <c r="F1575" s="15"/>
      <c r="G1575" s="15"/>
    </row>
    <row r="1576" ht="22" customHeight="1" spans="1:7" x14ac:dyDescent="0.25">
      <c r="A1576" s="16" t="s">
        <v>18</v>
      </c>
      <c r="B1576" s="17" t="s">
        <v>43</v>
      </c>
      <c r="C1576" s="17" t="s">
        <v>692</v>
      </c>
      <c r="D1576" s="17" t="s">
        <v>45</v>
      </c>
      <c r="E1576" s="18">
        <v>27.9</v>
      </c>
      <c r="F1576" s="19" t="s">
        <v>22</v>
      </c>
      <c r="G1576" s="16" t="s">
        <v>23</v>
      </c>
    </row>
    <row r="1577" ht="20" customHeight="1" spans="1:7" x14ac:dyDescent="0.25">
      <c r="A1577" s="20" t="s">
        <v>24</v>
      </c>
      <c r="B1577" s="21" t="s">
        <v>25</v>
      </c>
      <c r="C1577" s="21" t="s">
        <v>26</v>
      </c>
      <c r="D1577" s="21" t="s">
        <v>27</v>
      </c>
      <c r="E1577" s="22" t="s">
        <v>23</v>
      </c>
      <c r="F1577" s="20" t="s">
        <v>27</v>
      </c>
      <c r="G1577" s="20" t="s">
        <v>27</v>
      </c>
    </row>
    <row r="1578" ht="22" customHeight="1" spans="1:7" x14ac:dyDescent="0.25">
      <c r="A1578" s="16" t="s">
        <v>28</v>
      </c>
      <c r="B1578" s="17" t="s">
        <v>43</v>
      </c>
      <c r="C1578" s="17" t="s">
        <v>693</v>
      </c>
      <c r="D1578" s="17" t="s">
        <v>45</v>
      </c>
      <c r="E1578" s="18">
        <v>18.3</v>
      </c>
      <c r="F1578" s="19" t="s">
        <v>22</v>
      </c>
      <c r="G1578" s="16" t="s">
        <v>23</v>
      </c>
    </row>
    <row r="1579" ht="20" customHeight="1" spans="1:7" x14ac:dyDescent="0.25">
      <c r="A1579" s="20" t="s">
        <v>30</v>
      </c>
      <c r="B1579" s="21" t="s">
        <v>25</v>
      </c>
      <c r="C1579" s="21" t="s">
        <v>26</v>
      </c>
      <c r="D1579" s="21" t="s">
        <v>27</v>
      </c>
      <c r="E1579" s="22" t="s">
        <v>23</v>
      </c>
      <c r="F1579" s="20" t="s">
        <v>27</v>
      </c>
      <c r="G1579" s="20" t="s">
        <v>27</v>
      </c>
    </row>
    <row r="1580" ht="22" customHeight="1" spans="1:7" x14ac:dyDescent="0.25">
      <c r="A1580" s="16" t="s">
        <v>31</v>
      </c>
      <c r="B1580" s="17" t="s">
        <v>63</v>
      </c>
      <c r="C1580" s="17" t="s">
        <v>694</v>
      </c>
      <c r="D1580" s="17" t="s">
        <v>65</v>
      </c>
      <c r="E1580" s="18">
        <v>23.8</v>
      </c>
      <c r="F1580" s="19" t="s">
        <v>22</v>
      </c>
      <c r="G1580" s="16" t="s">
        <v>23</v>
      </c>
    </row>
    <row r="1581" ht="20" customHeight="1" spans="1:7" x14ac:dyDescent="0.25">
      <c r="A1581" s="20" t="s">
        <v>35</v>
      </c>
      <c r="B1581" s="21" t="s">
        <v>25</v>
      </c>
      <c r="C1581" s="21" t="s">
        <v>26</v>
      </c>
      <c r="D1581" s="21" t="s">
        <v>27</v>
      </c>
      <c r="E1581" s="22" t="s">
        <v>23</v>
      </c>
      <c r="F1581" s="20" t="s">
        <v>27</v>
      </c>
      <c r="G1581" s="20" t="s">
        <v>27</v>
      </c>
    </row>
    <row r="1582" ht="22" customHeight="1" spans="1:7" x14ac:dyDescent="0.25">
      <c r="A1582" s="16" t="s">
        <v>36</v>
      </c>
      <c r="B1582" s="17" t="s">
        <v>63</v>
      </c>
      <c r="C1582" s="17" t="s">
        <v>695</v>
      </c>
      <c r="D1582" s="17" t="s">
        <v>65</v>
      </c>
      <c r="E1582" s="18">
        <v>32.5</v>
      </c>
      <c r="F1582" s="19" t="s">
        <v>22</v>
      </c>
      <c r="G1582" s="16" t="s">
        <v>23</v>
      </c>
    </row>
    <row r="1583" ht="24" customHeight="1" spans="1:7" x14ac:dyDescent="0.25">
      <c r="A1583" s="23" t="s">
        <v>38</v>
      </c>
      <c r="B1583" s="23" t="s">
        <v>39</v>
      </c>
      <c r="C1583" s="24" t="s">
        <v>40</v>
      </c>
      <c r="D1583" s="24" t="s">
        <v>41</v>
      </c>
      <c r="E1583" s="25">
        <f>SUM(E1576,E1578,E1580,E1582)</f>
        <v>102.5</v>
      </c>
      <c r="F1583" s="23" t="str">
        <f>ROUND(E1583/60, 1) &amp; " Saat"</f>
        <v>1.7 Saat</v>
      </c>
      <c r="G1583" s="23" t="str">
        <f>COUNTIF(G1576:G1582, "X") &amp; "/4"</f>
        <v>0/4</v>
      </c>
    </row>
    <row r="1584" ht="22" customHeight="1" spans="1:7" x14ac:dyDescent="0.25">
      <c r="A1584" s="15" t="s">
        <v>67</v>
      </c>
      <c r="B1584" s="15"/>
      <c r="C1584" s="15"/>
      <c r="D1584" s="15"/>
      <c r="E1584" s="15"/>
      <c r="F1584" s="15"/>
      <c r="G1584" s="15"/>
    </row>
    <row r="1585" ht="22" customHeight="1" spans="1:7" x14ac:dyDescent="0.25">
      <c r="A1585" s="16" t="s">
        <v>18</v>
      </c>
      <c r="B1585" s="17" t="s">
        <v>68</v>
      </c>
      <c r="C1585" s="17" t="s">
        <v>696</v>
      </c>
      <c r="D1585" s="17" t="s">
        <v>70</v>
      </c>
      <c r="E1585" s="18">
        <v>53.6</v>
      </c>
      <c r="F1585" s="19" t="s">
        <v>22</v>
      </c>
      <c r="G1585" s="16" t="s">
        <v>23</v>
      </c>
    </row>
    <row r="1586" ht="20" customHeight="1" spans="1:7" x14ac:dyDescent="0.25">
      <c r="A1586" s="20" t="s">
        <v>24</v>
      </c>
      <c r="B1586" s="21" t="s">
        <v>25</v>
      </c>
      <c r="C1586" s="21" t="s">
        <v>26</v>
      </c>
      <c r="D1586" s="21" t="s">
        <v>27</v>
      </c>
      <c r="E1586" s="22" t="s">
        <v>23</v>
      </c>
      <c r="F1586" s="20" t="s">
        <v>27</v>
      </c>
      <c r="G1586" s="20" t="s">
        <v>27</v>
      </c>
    </row>
    <row r="1587" ht="22" customHeight="1" spans="1:7" x14ac:dyDescent="0.25">
      <c r="A1587" s="16" t="s">
        <v>28</v>
      </c>
      <c r="B1587" s="17" t="s">
        <v>68</v>
      </c>
      <c r="C1587" s="17" t="s">
        <v>697</v>
      </c>
      <c r="D1587" s="17" t="s">
        <v>70</v>
      </c>
      <c r="E1587" s="18">
        <v>35.2</v>
      </c>
      <c r="F1587" s="19" t="s">
        <v>22</v>
      </c>
      <c r="G1587" s="16" t="s">
        <v>23</v>
      </c>
    </row>
    <row r="1588" ht="20" customHeight="1" spans="1:7" x14ac:dyDescent="0.25">
      <c r="A1588" s="20" t="s">
        <v>30</v>
      </c>
      <c r="B1588" s="21" t="s">
        <v>25</v>
      </c>
      <c r="C1588" s="21" t="s">
        <v>26</v>
      </c>
      <c r="D1588" s="21" t="s">
        <v>27</v>
      </c>
      <c r="E1588" s="22" t="s">
        <v>23</v>
      </c>
      <c r="F1588" s="20" t="s">
        <v>27</v>
      </c>
      <c r="G1588" s="20" t="s">
        <v>27</v>
      </c>
    </row>
    <row r="1589" ht="22" customHeight="1" spans="1:7" x14ac:dyDescent="0.25">
      <c r="A1589" s="16" t="s">
        <v>31</v>
      </c>
      <c r="B1589" s="17" t="s">
        <v>449</v>
      </c>
      <c r="C1589" s="17" t="s">
        <v>698</v>
      </c>
      <c r="D1589" s="17" t="s">
        <v>34</v>
      </c>
      <c r="E1589" s="18">
        <v>38.3</v>
      </c>
      <c r="F1589" s="19" t="s">
        <v>22</v>
      </c>
      <c r="G1589" s="16" t="s">
        <v>23</v>
      </c>
    </row>
    <row r="1590" ht="20" customHeight="1" spans="1:7" x14ac:dyDescent="0.25">
      <c r="A1590" s="20" t="s">
        <v>35</v>
      </c>
      <c r="B1590" s="21" t="s">
        <v>25</v>
      </c>
      <c r="C1590" s="21" t="s">
        <v>26</v>
      </c>
      <c r="D1590" s="21" t="s">
        <v>27</v>
      </c>
      <c r="E1590" s="22" t="s">
        <v>23</v>
      </c>
      <c r="F1590" s="20" t="s">
        <v>27</v>
      </c>
      <c r="G1590" s="20" t="s">
        <v>27</v>
      </c>
    </row>
    <row r="1591" ht="22" customHeight="1" spans="1:7" x14ac:dyDescent="0.25">
      <c r="A1591" s="16" t="s">
        <v>36</v>
      </c>
      <c r="B1591" s="17" t="s">
        <v>449</v>
      </c>
      <c r="C1591" s="17" t="s">
        <v>699</v>
      </c>
      <c r="D1591" s="17" t="s">
        <v>34</v>
      </c>
      <c r="E1591" s="18">
        <v>18.2</v>
      </c>
      <c r="F1591" s="19" t="s">
        <v>22</v>
      </c>
      <c r="G1591" s="16" t="s">
        <v>23</v>
      </c>
    </row>
    <row r="1592" ht="24" customHeight="1" spans="1:7" x14ac:dyDescent="0.25">
      <c r="A1592" s="23" t="s">
        <v>38</v>
      </c>
      <c r="B1592" s="23" t="s">
        <v>39</v>
      </c>
      <c r="C1592" s="24" t="s">
        <v>40</v>
      </c>
      <c r="D1592" s="24" t="s">
        <v>41</v>
      </c>
      <c r="E1592" s="25">
        <f>SUM(E1585,E1587,E1589,E1591)</f>
        <v>145.3</v>
      </c>
      <c r="F1592" s="23" t="str">
        <f>ROUND(E1592/60, 1) &amp; " Saat"</f>
        <v>2.4 Saat</v>
      </c>
      <c r="G1592" s="23" t="str">
        <f>COUNTIF(G1585:G1591, "X") &amp; "/4"</f>
        <v>0/4</v>
      </c>
    </row>
    <row r="1593" ht="22" customHeight="1" spans="1:7" x14ac:dyDescent="0.25">
      <c r="A1593" s="15" t="s">
        <v>74</v>
      </c>
      <c r="B1593" s="15"/>
      <c r="C1593" s="15"/>
      <c r="D1593" s="15"/>
      <c r="E1593" s="15"/>
      <c r="F1593" s="15"/>
      <c r="G1593" s="15"/>
    </row>
    <row r="1594" ht="22" customHeight="1" spans="1:7" x14ac:dyDescent="0.25">
      <c r="A1594" s="16" t="s">
        <v>18</v>
      </c>
      <c r="B1594" s="17" t="s">
        <v>47</v>
      </c>
      <c r="C1594" s="17" t="s">
        <v>700</v>
      </c>
      <c r="D1594" s="17" t="s">
        <v>49</v>
      </c>
      <c r="E1594" s="18">
        <v>47.9</v>
      </c>
      <c r="F1594" s="19" t="s">
        <v>22</v>
      </c>
      <c r="G1594" s="16" t="s">
        <v>23</v>
      </c>
    </row>
    <row r="1595" ht="20" customHeight="1" spans="1:7" x14ac:dyDescent="0.25">
      <c r="A1595" s="20" t="s">
        <v>24</v>
      </c>
      <c r="B1595" s="21" t="s">
        <v>25</v>
      </c>
      <c r="C1595" s="21" t="s">
        <v>26</v>
      </c>
      <c r="D1595" s="21" t="s">
        <v>27</v>
      </c>
      <c r="E1595" s="22" t="s">
        <v>23</v>
      </c>
      <c r="F1595" s="20" t="s">
        <v>27</v>
      </c>
      <c r="G1595" s="20" t="s">
        <v>27</v>
      </c>
    </row>
    <row r="1596" ht="22" customHeight="1" spans="1:7" x14ac:dyDescent="0.25">
      <c r="A1596" s="16" t="s">
        <v>28</v>
      </c>
      <c r="B1596" s="17" t="s">
        <v>47</v>
      </c>
      <c r="C1596" s="17" t="s">
        <v>701</v>
      </c>
      <c r="D1596" s="17" t="s">
        <v>49</v>
      </c>
      <c r="E1596" s="18">
        <v>66.5</v>
      </c>
      <c r="F1596" s="19" t="s">
        <v>22</v>
      </c>
      <c r="G1596" s="16" t="s">
        <v>23</v>
      </c>
    </row>
    <row r="1597" ht="20" customHeight="1" spans="1:7" x14ac:dyDescent="0.25">
      <c r="A1597" s="20" t="s">
        <v>30</v>
      </c>
      <c r="B1597" s="21" t="s">
        <v>25</v>
      </c>
      <c r="C1597" s="21" t="s">
        <v>26</v>
      </c>
      <c r="D1597" s="21" t="s">
        <v>27</v>
      </c>
      <c r="E1597" s="22" t="s">
        <v>23</v>
      </c>
      <c r="F1597" s="20" t="s">
        <v>27</v>
      </c>
      <c r="G1597" s="20" t="s">
        <v>27</v>
      </c>
    </row>
    <row r="1598" ht="22" customHeight="1" spans="1:7" x14ac:dyDescent="0.25">
      <c r="A1598" s="16" t="s">
        <v>31</v>
      </c>
      <c r="B1598" s="17" t="s">
        <v>568</v>
      </c>
      <c r="C1598" s="17" t="s">
        <v>467</v>
      </c>
      <c r="D1598" s="17" t="s">
        <v>23</v>
      </c>
      <c r="E1598" s="18">
        <v>40</v>
      </c>
      <c r="F1598" s="16" t="s">
        <v>27</v>
      </c>
      <c r="G1598" s="16" t="s">
        <v>23</v>
      </c>
    </row>
    <row r="1599" ht="20" customHeight="1" spans="1:7" x14ac:dyDescent="0.25">
      <c r="A1599" s="20" t="s">
        <v>35</v>
      </c>
      <c r="B1599" s="21" t="s">
        <v>25</v>
      </c>
      <c r="C1599" s="21" t="s">
        <v>26</v>
      </c>
      <c r="D1599" s="21" t="s">
        <v>27</v>
      </c>
      <c r="E1599" s="22" t="s">
        <v>23</v>
      </c>
      <c r="F1599" s="20" t="s">
        <v>27</v>
      </c>
      <c r="G1599" s="20" t="s">
        <v>27</v>
      </c>
    </row>
    <row r="1600" ht="22" customHeight="1" spans="1:7" x14ac:dyDescent="0.25">
      <c r="A1600" s="16" t="s">
        <v>36</v>
      </c>
      <c r="B1600" s="17" t="s">
        <v>568</v>
      </c>
      <c r="C1600" s="17" t="s">
        <v>467</v>
      </c>
      <c r="D1600" s="17" t="s">
        <v>23</v>
      </c>
      <c r="E1600" s="18">
        <v>40</v>
      </c>
      <c r="F1600" s="16" t="s">
        <v>27</v>
      </c>
      <c r="G1600" s="16" t="s">
        <v>23</v>
      </c>
    </row>
    <row r="1601" ht="24" customHeight="1" spans="1:7" x14ac:dyDescent="0.25">
      <c r="A1601" s="23" t="s">
        <v>38</v>
      </c>
      <c r="B1601" s="23" t="s">
        <v>39</v>
      </c>
      <c r="C1601" s="24" t="s">
        <v>40</v>
      </c>
      <c r="D1601" s="24" t="s">
        <v>41</v>
      </c>
      <c r="E1601" s="25">
        <f>SUM(E1594,E1596,E1598,E1600)</f>
        <v>194.4</v>
      </c>
      <c r="F1601" s="23" t="str">
        <f>ROUND(E1601/60, 1) &amp; " Saat"</f>
        <v>3.2 Saat</v>
      </c>
      <c r="G1601" s="23" t="str">
        <f>COUNTIF(G1594:G1600, "X") &amp; "/4"</f>
        <v>0/4</v>
      </c>
    </row>
    <row r="1602" ht="28" customHeight="1" spans="1:7" x14ac:dyDescent="0.25">
      <c r="A1602" s="26" t="s">
        <v>79</v>
      </c>
      <c r="B1602" s="26"/>
      <c r="C1602" s="26"/>
      <c r="D1602" s="26"/>
      <c r="E1602" s="26"/>
      <c r="F1602" s="26"/>
      <c r="G1602" s="26"/>
    </row>
    <row r="1603" ht="8" customHeight="1" x14ac:dyDescent="0.25"/>
    <row r="1604" ht="25" customHeight="1" spans="1:7" x14ac:dyDescent="0.25">
      <c r="A1604" s="14" t="s">
        <v>702</v>
      </c>
      <c r="B1604" s="14"/>
      <c r="C1604" s="14"/>
      <c r="D1604" s="14"/>
      <c r="E1604" s="14"/>
      <c r="F1604" s="14"/>
      <c r="G1604" s="14"/>
    </row>
    <row r="1605" ht="22" customHeight="1" spans="1:7" x14ac:dyDescent="0.25">
      <c r="A1605" s="15" t="s">
        <v>17</v>
      </c>
      <c r="B1605" s="15"/>
      <c r="C1605" s="15"/>
      <c r="D1605" s="15"/>
      <c r="E1605" s="15"/>
      <c r="F1605" s="15"/>
      <c r="G1605" s="15"/>
    </row>
    <row r="1606" ht="22" customHeight="1" spans="1:7" x14ac:dyDescent="0.25">
      <c r="A1606" s="16" t="s">
        <v>18</v>
      </c>
      <c r="B1606" s="17" t="s">
        <v>19</v>
      </c>
      <c r="C1606" s="17" t="s">
        <v>703</v>
      </c>
      <c r="D1606" s="17" t="s">
        <v>21</v>
      </c>
      <c r="E1606" s="18">
        <v>19.3</v>
      </c>
      <c r="F1606" s="19" t="s">
        <v>22</v>
      </c>
      <c r="G1606" s="16" t="s">
        <v>23</v>
      </c>
    </row>
    <row r="1607" ht="20" customHeight="1" spans="1:7" x14ac:dyDescent="0.25">
      <c r="A1607" s="20" t="s">
        <v>24</v>
      </c>
      <c r="B1607" s="21" t="s">
        <v>25</v>
      </c>
      <c r="C1607" s="21" t="s">
        <v>26</v>
      </c>
      <c r="D1607" s="21" t="s">
        <v>27</v>
      </c>
      <c r="E1607" s="22" t="s">
        <v>23</v>
      </c>
      <c r="F1607" s="20" t="s">
        <v>27</v>
      </c>
      <c r="G1607" s="20" t="s">
        <v>27</v>
      </c>
    </row>
    <row r="1608" ht="22" customHeight="1" spans="1:7" x14ac:dyDescent="0.25">
      <c r="A1608" s="16" t="s">
        <v>28</v>
      </c>
      <c r="B1608" s="17" t="s">
        <v>19</v>
      </c>
      <c r="C1608" s="17" t="s">
        <v>704</v>
      </c>
      <c r="D1608" s="17" t="s">
        <v>21</v>
      </c>
      <c r="E1608" s="18">
        <v>22.3</v>
      </c>
      <c r="F1608" s="19" t="s">
        <v>22</v>
      </c>
      <c r="G1608" s="16" t="s">
        <v>23</v>
      </c>
    </row>
    <row r="1609" ht="20" customHeight="1" spans="1:7" x14ac:dyDescent="0.25">
      <c r="A1609" s="20" t="s">
        <v>30</v>
      </c>
      <c r="B1609" s="21" t="s">
        <v>25</v>
      </c>
      <c r="C1609" s="21" t="s">
        <v>26</v>
      </c>
      <c r="D1609" s="21" t="s">
        <v>27</v>
      </c>
      <c r="E1609" s="22" t="s">
        <v>23</v>
      </c>
      <c r="F1609" s="20" t="s">
        <v>27</v>
      </c>
      <c r="G1609" s="20" t="s">
        <v>27</v>
      </c>
    </row>
    <row r="1610" ht="22" customHeight="1" spans="1:7" x14ac:dyDescent="0.25">
      <c r="A1610" s="16" t="s">
        <v>31</v>
      </c>
      <c r="B1610" s="17" t="s">
        <v>32</v>
      </c>
      <c r="C1610" s="17" t="s">
        <v>705</v>
      </c>
      <c r="D1610" s="17" t="s">
        <v>34</v>
      </c>
      <c r="E1610" s="18">
        <v>55.8</v>
      </c>
      <c r="F1610" s="19" t="s">
        <v>22</v>
      </c>
      <c r="G1610" s="16" t="s">
        <v>23</v>
      </c>
    </row>
    <row r="1611" ht="20" customHeight="1" spans="1:7" x14ac:dyDescent="0.25">
      <c r="A1611" s="20" t="s">
        <v>35</v>
      </c>
      <c r="B1611" s="21" t="s">
        <v>25</v>
      </c>
      <c r="C1611" s="21" t="s">
        <v>26</v>
      </c>
      <c r="D1611" s="21" t="s">
        <v>27</v>
      </c>
      <c r="E1611" s="22" t="s">
        <v>23</v>
      </c>
      <c r="F1611" s="20" t="s">
        <v>27</v>
      </c>
      <c r="G1611" s="20" t="s">
        <v>27</v>
      </c>
    </row>
    <row r="1612" ht="22" customHeight="1" spans="1:7" x14ac:dyDescent="0.25">
      <c r="A1612" s="16" t="s">
        <v>36</v>
      </c>
      <c r="B1612" s="17" t="s">
        <v>32</v>
      </c>
      <c r="C1612" s="17" t="s">
        <v>706</v>
      </c>
      <c r="D1612" s="17" t="s">
        <v>34</v>
      </c>
      <c r="E1612" s="18">
        <v>34.5</v>
      </c>
      <c r="F1612" s="19" t="s">
        <v>22</v>
      </c>
      <c r="G1612" s="16" t="s">
        <v>23</v>
      </c>
    </row>
    <row r="1613" ht="24" customHeight="1" spans="1:7" x14ac:dyDescent="0.25">
      <c r="A1613" s="23" t="s">
        <v>38</v>
      </c>
      <c r="B1613" s="23" t="s">
        <v>39</v>
      </c>
      <c r="C1613" s="24" t="s">
        <v>40</v>
      </c>
      <c r="D1613" s="24" t="s">
        <v>41</v>
      </c>
      <c r="E1613" s="25">
        <f>SUM(E1606,E1608,E1610,E1612)</f>
        <v>131.9</v>
      </c>
      <c r="F1613" s="23" t="str">
        <f>ROUND(E1613/60, 1) &amp; " Saat"</f>
        <v>2.2 Saat</v>
      </c>
      <c r="G1613" s="23" t="str">
        <f>COUNTIF(G1606:G1612, "X") &amp; "/4"</f>
        <v>0/4</v>
      </c>
    </row>
    <row r="1614" ht="22" customHeight="1" spans="1:7" x14ac:dyDescent="0.25">
      <c r="A1614" s="15" t="s">
        <v>42</v>
      </c>
      <c r="B1614" s="15"/>
      <c r="C1614" s="15"/>
      <c r="D1614" s="15"/>
      <c r="E1614" s="15"/>
      <c r="F1614" s="15"/>
      <c r="G1614" s="15"/>
    </row>
    <row r="1615" ht="22" customHeight="1" spans="1:7" x14ac:dyDescent="0.25">
      <c r="A1615" s="16" t="s">
        <v>18</v>
      </c>
      <c r="B1615" s="17" t="s">
        <v>43</v>
      </c>
      <c r="C1615" s="17" t="s">
        <v>707</v>
      </c>
      <c r="D1615" s="17" t="s">
        <v>45</v>
      </c>
      <c r="E1615" s="18">
        <v>43.9</v>
      </c>
      <c r="F1615" s="19" t="s">
        <v>22</v>
      </c>
      <c r="G1615" s="16" t="s">
        <v>23</v>
      </c>
    </row>
    <row r="1616" ht="20" customHeight="1" spans="1:7" x14ac:dyDescent="0.25">
      <c r="A1616" s="20" t="s">
        <v>24</v>
      </c>
      <c r="B1616" s="21" t="s">
        <v>25</v>
      </c>
      <c r="C1616" s="21" t="s">
        <v>26</v>
      </c>
      <c r="D1616" s="21" t="s">
        <v>27</v>
      </c>
      <c r="E1616" s="22" t="s">
        <v>23</v>
      </c>
      <c r="F1616" s="20" t="s">
        <v>27</v>
      </c>
      <c r="G1616" s="20" t="s">
        <v>27</v>
      </c>
    </row>
    <row r="1617" ht="22" customHeight="1" spans="1:7" x14ac:dyDescent="0.25">
      <c r="A1617" s="16" t="s">
        <v>28</v>
      </c>
      <c r="B1617" s="17" t="s">
        <v>43</v>
      </c>
      <c r="C1617" s="17" t="s">
        <v>708</v>
      </c>
      <c r="D1617" s="17" t="s">
        <v>45</v>
      </c>
      <c r="E1617" s="18">
        <v>33.4</v>
      </c>
      <c r="F1617" s="19" t="s">
        <v>22</v>
      </c>
      <c r="G1617" s="16" t="s">
        <v>23</v>
      </c>
    </row>
    <row r="1618" ht="20" customHeight="1" spans="1:7" x14ac:dyDescent="0.25">
      <c r="A1618" s="20" t="s">
        <v>30</v>
      </c>
      <c r="B1618" s="21" t="s">
        <v>25</v>
      </c>
      <c r="C1618" s="21" t="s">
        <v>26</v>
      </c>
      <c r="D1618" s="21" t="s">
        <v>27</v>
      </c>
      <c r="E1618" s="22" t="s">
        <v>23</v>
      </c>
      <c r="F1618" s="20" t="s">
        <v>27</v>
      </c>
      <c r="G1618" s="20" t="s">
        <v>27</v>
      </c>
    </row>
    <row r="1619" ht="22" customHeight="1" spans="1:7" x14ac:dyDescent="0.25">
      <c r="A1619" s="16" t="s">
        <v>31</v>
      </c>
      <c r="B1619" s="17" t="s">
        <v>47</v>
      </c>
      <c r="C1619" s="17" t="s">
        <v>709</v>
      </c>
      <c r="D1619" s="17" t="s">
        <v>49</v>
      </c>
      <c r="E1619" s="18">
        <v>17.6</v>
      </c>
      <c r="F1619" s="19" t="s">
        <v>22</v>
      </c>
      <c r="G1619" s="16" t="s">
        <v>23</v>
      </c>
    </row>
    <row r="1620" ht="20" customHeight="1" spans="1:7" x14ac:dyDescent="0.25">
      <c r="A1620" s="20" t="s">
        <v>35</v>
      </c>
      <c r="B1620" s="21" t="s">
        <v>25</v>
      </c>
      <c r="C1620" s="21" t="s">
        <v>26</v>
      </c>
      <c r="D1620" s="21" t="s">
        <v>27</v>
      </c>
      <c r="E1620" s="22" t="s">
        <v>23</v>
      </c>
      <c r="F1620" s="20" t="s">
        <v>27</v>
      </c>
      <c r="G1620" s="20" t="s">
        <v>27</v>
      </c>
    </row>
    <row r="1621" ht="22" customHeight="1" spans="1:7" x14ac:dyDescent="0.25">
      <c r="A1621" s="16" t="s">
        <v>36</v>
      </c>
      <c r="B1621" s="17" t="s">
        <v>47</v>
      </c>
      <c r="C1621" s="17" t="s">
        <v>710</v>
      </c>
      <c r="D1621" s="17" t="s">
        <v>49</v>
      </c>
      <c r="E1621" s="18">
        <v>30.5</v>
      </c>
      <c r="F1621" s="19" t="s">
        <v>22</v>
      </c>
      <c r="G1621" s="16" t="s">
        <v>23</v>
      </c>
    </row>
    <row r="1622" ht="24" customHeight="1" spans="1:7" x14ac:dyDescent="0.25">
      <c r="A1622" s="23" t="s">
        <v>38</v>
      </c>
      <c r="B1622" s="23" t="s">
        <v>39</v>
      </c>
      <c r="C1622" s="24" t="s">
        <v>40</v>
      </c>
      <c r="D1622" s="24" t="s">
        <v>41</v>
      </c>
      <c r="E1622" s="25">
        <f>SUM(E1615,E1617,E1619,E1621)</f>
        <v>125.4</v>
      </c>
      <c r="F1622" s="23" t="str">
        <f>ROUND(E1622/60, 1) &amp; " Saat"</f>
        <v>2.1 Saat</v>
      </c>
      <c r="G1622" s="23" t="str">
        <f>COUNTIF(G1615:G1621, "X") &amp; "/4"</f>
        <v>0/4</v>
      </c>
    </row>
    <row r="1623" ht="22" customHeight="1" spans="1:7" x14ac:dyDescent="0.25">
      <c r="A1623" s="15" t="s">
        <v>51</v>
      </c>
      <c r="B1623" s="15"/>
      <c r="C1623" s="15"/>
      <c r="D1623" s="15"/>
      <c r="E1623" s="15"/>
      <c r="F1623" s="15"/>
      <c r="G1623" s="15"/>
    </row>
    <row r="1624" ht="22" customHeight="1" spans="1:7" x14ac:dyDescent="0.25">
      <c r="A1624" s="16" t="s">
        <v>18</v>
      </c>
      <c r="B1624" s="17" t="s">
        <v>52</v>
      </c>
      <c r="C1624" s="17" t="s">
        <v>467</v>
      </c>
      <c r="D1624" s="17" t="s">
        <v>23</v>
      </c>
      <c r="E1624" s="18">
        <v>40</v>
      </c>
      <c r="F1624" s="16" t="s">
        <v>27</v>
      </c>
      <c r="G1624" s="16" t="s">
        <v>23</v>
      </c>
    </row>
    <row r="1625" ht="20" customHeight="1" spans="1:7" x14ac:dyDescent="0.25">
      <c r="A1625" s="20" t="s">
        <v>24</v>
      </c>
      <c r="B1625" s="21" t="s">
        <v>25</v>
      </c>
      <c r="C1625" s="21" t="s">
        <v>26</v>
      </c>
      <c r="D1625" s="21" t="s">
        <v>27</v>
      </c>
      <c r="E1625" s="22" t="s">
        <v>23</v>
      </c>
      <c r="F1625" s="20" t="s">
        <v>27</v>
      </c>
      <c r="G1625" s="20" t="s">
        <v>27</v>
      </c>
    </row>
    <row r="1626" ht="22" customHeight="1" spans="1:7" x14ac:dyDescent="0.25">
      <c r="A1626" s="16" t="s">
        <v>28</v>
      </c>
      <c r="B1626" s="17" t="s">
        <v>52</v>
      </c>
      <c r="C1626" s="17" t="s">
        <v>467</v>
      </c>
      <c r="D1626" s="17" t="s">
        <v>23</v>
      </c>
      <c r="E1626" s="18">
        <v>40</v>
      </c>
      <c r="F1626" s="16" t="s">
        <v>27</v>
      </c>
      <c r="G1626" s="16" t="s">
        <v>23</v>
      </c>
    </row>
    <row r="1627" ht="20" customHeight="1" spans="1:7" x14ac:dyDescent="0.25">
      <c r="A1627" s="20" t="s">
        <v>30</v>
      </c>
      <c r="B1627" s="21" t="s">
        <v>25</v>
      </c>
      <c r="C1627" s="21" t="s">
        <v>26</v>
      </c>
      <c r="D1627" s="21" t="s">
        <v>27</v>
      </c>
      <c r="E1627" s="22" t="s">
        <v>23</v>
      </c>
      <c r="F1627" s="20" t="s">
        <v>27</v>
      </c>
      <c r="G1627" s="20" t="s">
        <v>27</v>
      </c>
    </row>
    <row r="1628" ht="22" customHeight="1" spans="1:7" x14ac:dyDescent="0.25">
      <c r="A1628" s="16" t="s">
        <v>31</v>
      </c>
      <c r="B1628" s="17" t="s">
        <v>56</v>
      </c>
      <c r="C1628" s="17" t="s">
        <v>467</v>
      </c>
      <c r="D1628" s="17" t="s">
        <v>23</v>
      </c>
      <c r="E1628" s="18">
        <v>40</v>
      </c>
      <c r="F1628" s="16" t="s">
        <v>27</v>
      </c>
      <c r="G1628" s="16" t="s">
        <v>23</v>
      </c>
    </row>
    <row r="1629" ht="20" customHeight="1" spans="1:7" x14ac:dyDescent="0.25">
      <c r="A1629" s="20" t="s">
        <v>35</v>
      </c>
      <c r="B1629" s="21" t="s">
        <v>25</v>
      </c>
      <c r="C1629" s="21" t="s">
        <v>26</v>
      </c>
      <c r="D1629" s="21" t="s">
        <v>27</v>
      </c>
      <c r="E1629" s="22" t="s">
        <v>23</v>
      </c>
      <c r="F1629" s="20" t="s">
        <v>27</v>
      </c>
      <c r="G1629" s="20" t="s">
        <v>27</v>
      </c>
    </row>
    <row r="1630" ht="22" customHeight="1" spans="1:7" x14ac:dyDescent="0.25">
      <c r="A1630" s="16" t="s">
        <v>36</v>
      </c>
      <c r="B1630" s="17" t="s">
        <v>56</v>
      </c>
      <c r="C1630" s="17" t="s">
        <v>467</v>
      </c>
      <c r="D1630" s="17" t="s">
        <v>23</v>
      </c>
      <c r="E1630" s="18">
        <v>40</v>
      </c>
      <c r="F1630" s="16" t="s">
        <v>27</v>
      </c>
      <c r="G1630" s="16" t="s">
        <v>23</v>
      </c>
    </row>
    <row r="1631" ht="24" customHeight="1" spans="1:7" x14ac:dyDescent="0.25">
      <c r="A1631" s="23" t="s">
        <v>38</v>
      </c>
      <c r="B1631" s="23" t="s">
        <v>39</v>
      </c>
      <c r="C1631" s="24" t="s">
        <v>40</v>
      </c>
      <c r="D1631" s="24" t="s">
        <v>41</v>
      </c>
      <c r="E1631" s="25">
        <f>SUM(E1624,E1626,E1628,E1630)</f>
        <v>160</v>
      </c>
      <c r="F1631" s="23" t="str">
        <f>ROUND(E1631/60, 1) &amp; " Saat"</f>
        <v>2.7 Saat</v>
      </c>
      <c r="G1631" s="23" t="str">
        <f>COUNTIF(G1624:G1630, "X") &amp; "/4"</f>
        <v>0/4</v>
      </c>
    </row>
    <row r="1632" ht="22" customHeight="1" spans="1:7" x14ac:dyDescent="0.25">
      <c r="A1632" s="15" t="s">
        <v>60</v>
      </c>
      <c r="B1632" s="15"/>
      <c r="C1632" s="15"/>
      <c r="D1632" s="15"/>
      <c r="E1632" s="15"/>
      <c r="F1632" s="15"/>
      <c r="G1632" s="15"/>
    </row>
    <row r="1633" ht="22" customHeight="1" spans="1:7" x14ac:dyDescent="0.25">
      <c r="A1633" s="16" t="s">
        <v>18</v>
      </c>
      <c r="B1633" s="17" t="s">
        <v>43</v>
      </c>
      <c r="C1633" s="17" t="s">
        <v>711</v>
      </c>
      <c r="D1633" s="17" t="s">
        <v>45</v>
      </c>
      <c r="E1633" s="18">
        <v>16.5</v>
      </c>
      <c r="F1633" s="19" t="s">
        <v>22</v>
      </c>
      <c r="G1633" s="16" t="s">
        <v>23</v>
      </c>
    </row>
    <row r="1634" ht="20" customHeight="1" spans="1:7" x14ac:dyDescent="0.25">
      <c r="A1634" s="20" t="s">
        <v>24</v>
      </c>
      <c r="B1634" s="21" t="s">
        <v>25</v>
      </c>
      <c r="C1634" s="21" t="s">
        <v>26</v>
      </c>
      <c r="D1634" s="21" t="s">
        <v>27</v>
      </c>
      <c r="E1634" s="22" t="s">
        <v>23</v>
      </c>
      <c r="F1634" s="20" t="s">
        <v>27</v>
      </c>
      <c r="G1634" s="20" t="s">
        <v>27</v>
      </c>
    </row>
    <row r="1635" ht="22" customHeight="1" spans="1:7" x14ac:dyDescent="0.25">
      <c r="A1635" s="16" t="s">
        <v>28</v>
      </c>
      <c r="B1635" s="17" t="s">
        <v>43</v>
      </c>
      <c r="C1635" s="17" t="s">
        <v>712</v>
      </c>
      <c r="D1635" s="17" t="s">
        <v>45</v>
      </c>
      <c r="E1635" s="18">
        <v>35.2</v>
      </c>
      <c r="F1635" s="19" t="s">
        <v>22</v>
      </c>
      <c r="G1635" s="16" t="s">
        <v>23</v>
      </c>
    </row>
    <row r="1636" ht="20" customHeight="1" spans="1:7" x14ac:dyDescent="0.25">
      <c r="A1636" s="20" t="s">
        <v>30</v>
      </c>
      <c r="B1636" s="21" t="s">
        <v>25</v>
      </c>
      <c r="C1636" s="21" t="s">
        <v>26</v>
      </c>
      <c r="D1636" s="21" t="s">
        <v>27</v>
      </c>
      <c r="E1636" s="22" t="s">
        <v>23</v>
      </c>
      <c r="F1636" s="20" t="s">
        <v>27</v>
      </c>
      <c r="G1636" s="20" t="s">
        <v>27</v>
      </c>
    </row>
    <row r="1637" ht="22" customHeight="1" spans="1:7" x14ac:dyDescent="0.25">
      <c r="A1637" s="16" t="s">
        <v>31</v>
      </c>
      <c r="B1637" s="17" t="s">
        <v>63</v>
      </c>
      <c r="C1637" s="17" t="s">
        <v>713</v>
      </c>
      <c r="D1637" s="17" t="s">
        <v>65</v>
      </c>
      <c r="E1637" s="18">
        <v>20.9</v>
      </c>
      <c r="F1637" s="19" t="s">
        <v>22</v>
      </c>
      <c r="G1637" s="16" t="s">
        <v>23</v>
      </c>
    </row>
    <row r="1638" ht="20" customHeight="1" spans="1:7" x14ac:dyDescent="0.25">
      <c r="A1638" s="20" t="s">
        <v>35</v>
      </c>
      <c r="B1638" s="21" t="s">
        <v>25</v>
      </c>
      <c r="C1638" s="21" t="s">
        <v>26</v>
      </c>
      <c r="D1638" s="21" t="s">
        <v>27</v>
      </c>
      <c r="E1638" s="22" t="s">
        <v>23</v>
      </c>
      <c r="F1638" s="20" t="s">
        <v>27</v>
      </c>
      <c r="G1638" s="20" t="s">
        <v>27</v>
      </c>
    </row>
    <row r="1639" ht="22" customHeight="1" spans="1:7" x14ac:dyDescent="0.25">
      <c r="A1639" s="16" t="s">
        <v>36</v>
      </c>
      <c r="B1639" s="17" t="s">
        <v>63</v>
      </c>
      <c r="C1639" s="17" t="s">
        <v>714</v>
      </c>
      <c r="D1639" s="17" t="s">
        <v>65</v>
      </c>
      <c r="E1639" s="18">
        <v>15.6</v>
      </c>
      <c r="F1639" s="19" t="s">
        <v>22</v>
      </c>
      <c r="G1639" s="16" t="s">
        <v>23</v>
      </c>
    </row>
    <row r="1640" ht="24" customHeight="1" spans="1:7" x14ac:dyDescent="0.25">
      <c r="A1640" s="23" t="s">
        <v>38</v>
      </c>
      <c r="B1640" s="23" t="s">
        <v>39</v>
      </c>
      <c r="C1640" s="24" t="s">
        <v>40</v>
      </c>
      <c r="D1640" s="24" t="s">
        <v>41</v>
      </c>
      <c r="E1640" s="25">
        <f>SUM(E1633,E1635,E1637,E1639)</f>
        <v>88.2</v>
      </c>
      <c r="F1640" s="23" t="str">
        <f>ROUND(E1640/60, 1) &amp; " Saat"</f>
        <v>1.5 Saat</v>
      </c>
      <c r="G1640" s="23" t="str">
        <f>COUNTIF(G1633:G1639, "X") &amp; "/4"</f>
        <v>0/4</v>
      </c>
    </row>
    <row r="1641" ht="22" customHeight="1" spans="1:7" x14ac:dyDescent="0.25">
      <c r="A1641" s="15" t="s">
        <v>67</v>
      </c>
      <c r="B1641" s="15"/>
      <c r="C1641" s="15"/>
      <c r="D1641" s="15"/>
      <c r="E1641" s="15"/>
      <c r="F1641" s="15"/>
      <c r="G1641" s="15"/>
    </row>
    <row r="1642" ht="22" customHeight="1" spans="1:7" x14ac:dyDescent="0.25">
      <c r="A1642" s="16" t="s">
        <v>18</v>
      </c>
      <c r="B1642" s="17" t="s">
        <v>68</v>
      </c>
      <c r="C1642" s="17" t="s">
        <v>715</v>
      </c>
      <c r="D1642" s="17" t="s">
        <v>70</v>
      </c>
      <c r="E1642" s="18">
        <v>39.5</v>
      </c>
      <c r="F1642" s="19" t="s">
        <v>22</v>
      </c>
      <c r="G1642" s="16" t="s">
        <v>23</v>
      </c>
    </row>
    <row r="1643" ht="20" customHeight="1" spans="1:7" x14ac:dyDescent="0.25">
      <c r="A1643" s="20" t="s">
        <v>24</v>
      </c>
      <c r="B1643" s="21" t="s">
        <v>25</v>
      </c>
      <c r="C1643" s="21" t="s">
        <v>26</v>
      </c>
      <c r="D1643" s="21" t="s">
        <v>27</v>
      </c>
      <c r="E1643" s="22" t="s">
        <v>23</v>
      </c>
      <c r="F1643" s="20" t="s">
        <v>27</v>
      </c>
      <c r="G1643" s="20" t="s">
        <v>27</v>
      </c>
    </row>
    <row r="1644" ht="22" customHeight="1" spans="1:7" x14ac:dyDescent="0.25">
      <c r="A1644" s="16" t="s">
        <v>28</v>
      </c>
      <c r="B1644" s="17" t="s">
        <v>68</v>
      </c>
      <c r="C1644" s="17" t="s">
        <v>716</v>
      </c>
      <c r="D1644" s="17" t="s">
        <v>70</v>
      </c>
      <c r="E1644" s="18">
        <v>28.9</v>
      </c>
      <c r="F1644" s="19" t="s">
        <v>22</v>
      </c>
      <c r="G1644" s="16" t="s">
        <v>23</v>
      </c>
    </row>
    <row r="1645" ht="20" customHeight="1" spans="1:7" x14ac:dyDescent="0.25">
      <c r="A1645" s="20" t="s">
        <v>30</v>
      </c>
      <c r="B1645" s="21" t="s">
        <v>25</v>
      </c>
      <c r="C1645" s="21" t="s">
        <v>26</v>
      </c>
      <c r="D1645" s="21" t="s">
        <v>27</v>
      </c>
      <c r="E1645" s="22" t="s">
        <v>23</v>
      </c>
      <c r="F1645" s="20" t="s">
        <v>27</v>
      </c>
      <c r="G1645" s="20" t="s">
        <v>27</v>
      </c>
    </row>
    <row r="1646" ht="22" customHeight="1" spans="1:7" x14ac:dyDescent="0.25">
      <c r="A1646" s="16" t="s">
        <v>31</v>
      </c>
      <c r="B1646" s="17" t="s">
        <v>449</v>
      </c>
      <c r="C1646" s="17" t="s">
        <v>717</v>
      </c>
      <c r="D1646" s="17" t="s">
        <v>34</v>
      </c>
      <c r="E1646" s="18">
        <v>46.4</v>
      </c>
      <c r="F1646" s="19" t="s">
        <v>22</v>
      </c>
      <c r="G1646" s="16" t="s">
        <v>23</v>
      </c>
    </row>
    <row r="1647" ht="20" customHeight="1" spans="1:7" x14ac:dyDescent="0.25">
      <c r="A1647" s="20" t="s">
        <v>35</v>
      </c>
      <c r="B1647" s="21" t="s">
        <v>25</v>
      </c>
      <c r="C1647" s="21" t="s">
        <v>26</v>
      </c>
      <c r="D1647" s="21" t="s">
        <v>27</v>
      </c>
      <c r="E1647" s="22" t="s">
        <v>23</v>
      </c>
      <c r="F1647" s="20" t="s">
        <v>27</v>
      </c>
      <c r="G1647" s="20" t="s">
        <v>27</v>
      </c>
    </row>
    <row r="1648" ht="22" customHeight="1" spans="1:7" x14ac:dyDescent="0.25">
      <c r="A1648" s="16" t="s">
        <v>36</v>
      </c>
      <c r="B1648" s="17" t="s">
        <v>449</v>
      </c>
      <c r="C1648" s="17" t="s">
        <v>718</v>
      </c>
      <c r="D1648" s="17" t="s">
        <v>34</v>
      </c>
      <c r="E1648" s="18">
        <v>38.4</v>
      </c>
      <c r="F1648" s="19" t="s">
        <v>22</v>
      </c>
      <c r="G1648" s="16" t="s">
        <v>23</v>
      </c>
    </row>
    <row r="1649" ht="24" customHeight="1" spans="1:7" x14ac:dyDescent="0.25">
      <c r="A1649" s="23" t="s">
        <v>38</v>
      </c>
      <c r="B1649" s="23" t="s">
        <v>39</v>
      </c>
      <c r="C1649" s="24" t="s">
        <v>40</v>
      </c>
      <c r="D1649" s="24" t="s">
        <v>41</v>
      </c>
      <c r="E1649" s="25">
        <f>SUM(E1642,E1644,E1646,E1648)</f>
        <v>153.2</v>
      </c>
      <c r="F1649" s="23" t="str">
        <f>ROUND(E1649/60, 1) &amp; " Saat"</f>
        <v>2.6 Saat</v>
      </c>
      <c r="G1649" s="23" t="str">
        <f>COUNTIF(G1642:G1648, "X") &amp; "/4"</f>
        <v>0/4</v>
      </c>
    </row>
    <row r="1650" ht="22" customHeight="1" spans="1:7" x14ac:dyDescent="0.25">
      <c r="A1650" s="15" t="s">
        <v>74</v>
      </c>
      <c r="B1650" s="15"/>
      <c r="C1650" s="15"/>
      <c r="D1650" s="15"/>
      <c r="E1650" s="15"/>
      <c r="F1650" s="15"/>
      <c r="G1650" s="15"/>
    </row>
    <row r="1651" ht="22" customHeight="1" spans="1:7" x14ac:dyDescent="0.25">
      <c r="A1651" s="16" t="s">
        <v>18</v>
      </c>
      <c r="B1651" s="17" t="s">
        <v>47</v>
      </c>
      <c r="C1651" s="17" t="s">
        <v>719</v>
      </c>
      <c r="D1651" s="17" t="s">
        <v>49</v>
      </c>
      <c r="E1651" s="18">
        <v>52.3</v>
      </c>
      <c r="F1651" s="19" t="s">
        <v>22</v>
      </c>
      <c r="G1651" s="16" t="s">
        <v>23</v>
      </c>
    </row>
    <row r="1652" ht="20" customHeight="1" spans="1:7" x14ac:dyDescent="0.25">
      <c r="A1652" s="20" t="s">
        <v>24</v>
      </c>
      <c r="B1652" s="21" t="s">
        <v>25</v>
      </c>
      <c r="C1652" s="21" t="s">
        <v>26</v>
      </c>
      <c r="D1652" s="21" t="s">
        <v>27</v>
      </c>
      <c r="E1652" s="22" t="s">
        <v>23</v>
      </c>
      <c r="F1652" s="20" t="s">
        <v>27</v>
      </c>
      <c r="G1652" s="20" t="s">
        <v>27</v>
      </c>
    </row>
    <row r="1653" ht="22" customHeight="1" spans="1:7" x14ac:dyDescent="0.25">
      <c r="A1653" s="16" t="s">
        <v>28</v>
      </c>
      <c r="B1653" s="17" t="s">
        <v>47</v>
      </c>
      <c r="C1653" s="17" t="s">
        <v>720</v>
      </c>
      <c r="D1653" s="17" t="s">
        <v>49</v>
      </c>
      <c r="E1653" s="18">
        <v>44.8</v>
      </c>
      <c r="F1653" s="19" t="s">
        <v>22</v>
      </c>
      <c r="G1653" s="16" t="s">
        <v>23</v>
      </c>
    </row>
    <row r="1654" ht="20" customHeight="1" spans="1:7" x14ac:dyDescent="0.25">
      <c r="A1654" s="20" t="s">
        <v>30</v>
      </c>
      <c r="B1654" s="21" t="s">
        <v>25</v>
      </c>
      <c r="C1654" s="21" t="s">
        <v>26</v>
      </c>
      <c r="D1654" s="21" t="s">
        <v>27</v>
      </c>
      <c r="E1654" s="22" t="s">
        <v>23</v>
      </c>
      <c r="F1654" s="20" t="s">
        <v>27</v>
      </c>
      <c r="G1654" s="20" t="s">
        <v>27</v>
      </c>
    </row>
    <row r="1655" ht="22" customHeight="1" spans="1:7" x14ac:dyDescent="0.25">
      <c r="A1655" s="16" t="s">
        <v>31</v>
      </c>
      <c r="B1655" s="17" t="s">
        <v>568</v>
      </c>
      <c r="C1655" s="17" t="s">
        <v>467</v>
      </c>
      <c r="D1655" s="17" t="s">
        <v>23</v>
      </c>
      <c r="E1655" s="18">
        <v>40</v>
      </c>
      <c r="F1655" s="16" t="s">
        <v>27</v>
      </c>
      <c r="G1655" s="16" t="s">
        <v>23</v>
      </c>
    </row>
    <row r="1656" ht="20" customHeight="1" spans="1:7" x14ac:dyDescent="0.25">
      <c r="A1656" s="20" t="s">
        <v>35</v>
      </c>
      <c r="B1656" s="21" t="s">
        <v>25</v>
      </c>
      <c r="C1656" s="21" t="s">
        <v>26</v>
      </c>
      <c r="D1656" s="21" t="s">
        <v>27</v>
      </c>
      <c r="E1656" s="22" t="s">
        <v>23</v>
      </c>
      <c r="F1656" s="20" t="s">
        <v>27</v>
      </c>
      <c r="G1656" s="20" t="s">
        <v>27</v>
      </c>
    </row>
    <row r="1657" ht="22" customHeight="1" spans="1:7" x14ac:dyDescent="0.25">
      <c r="A1657" s="16" t="s">
        <v>36</v>
      </c>
      <c r="B1657" s="17" t="s">
        <v>568</v>
      </c>
      <c r="C1657" s="17" t="s">
        <v>467</v>
      </c>
      <c r="D1657" s="17" t="s">
        <v>23</v>
      </c>
      <c r="E1657" s="18">
        <v>40</v>
      </c>
      <c r="F1657" s="16" t="s">
        <v>27</v>
      </c>
      <c r="G1657" s="16" t="s">
        <v>23</v>
      </c>
    </row>
    <row r="1658" ht="24" customHeight="1" spans="1:7" x14ac:dyDescent="0.25">
      <c r="A1658" s="23" t="s">
        <v>38</v>
      </c>
      <c r="B1658" s="23" t="s">
        <v>39</v>
      </c>
      <c r="C1658" s="24" t="s">
        <v>40</v>
      </c>
      <c r="D1658" s="24" t="s">
        <v>41</v>
      </c>
      <c r="E1658" s="25">
        <f>SUM(E1651,E1653,E1655,E1657)</f>
        <v>177.1</v>
      </c>
      <c r="F1658" s="23" t="str">
        <f>ROUND(E1658/60, 1) &amp; " Saat"</f>
        <v>3.0 Saat</v>
      </c>
      <c r="G1658" s="23" t="str">
        <f>COUNTIF(G1651:G1657, "X") &amp; "/4"</f>
        <v>0/4</v>
      </c>
    </row>
    <row r="1659" ht="28" customHeight="1" spans="1:7" x14ac:dyDescent="0.25">
      <c r="A1659" s="26" t="s">
        <v>79</v>
      </c>
      <c r="B1659" s="26"/>
      <c r="C1659" s="26"/>
      <c r="D1659" s="26"/>
      <c r="E1659" s="26"/>
      <c r="F1659" s="26"/>
      <c r="G1659" s="26"/>
    </row>
    <row r="1660" ht="8" customHeight="1" x14ac:dyDescent="0.25"/>
    <row r="1661" ht="25" customHeight="1" spans="1:7" x14ac:dyDescent="0.25">
      <c r="A1661" s="14" t="s">
        <v>721</v>
      </c>
      <c r="B1661" s="14"/>
      <c r="C1661" s="14"/>
      <c r="D1661" s="14"/>
      <c r="E1661" s="14"/>
      <c r="F1661" s="14"/>
      <c r="G1661" s="14"/>
    </row>
    <row r="1662" ht="22" customHeight="1" spans="1:7" x14ac:dyDescent="0.25">
      <c r="A1662" s="15" t="s">
        <v>17</v>
      </c>
      <c r="B1662" s="15"/>
      <c r="C1662" s="15"/>
      <c r="D1662" s="15"/>
      <c r="E1662" s="15"/>
      <c r="F1662" s="15"/>
      <c r="G1662" s="15"/>
    </row>
    <row r="1663" ht="22" customHeight="1" spans="1:7" x14ac:dyDescent="0.25">
      <c r="A1663" s="16" t="s">
        <v>18</v>
      </c>
      <c r="B1663" s="17" t="s">
        <v>19</v>
      </c>
      <c r="C1663" s="17" t="s">
        <v>722</v>
      </c>
      <c r="D1663" s="17" t="s">
        <v>21</v>
      </c>
      <c r="E1663" s="18">
        <v>18.4</v>
      </c>
      <c r="F1663" s="19" t="s">
        <v>22</v>
      </c>
      <c r="G1663" s="16" t="s">
        <v>23</v>
      </c>
    </row>
    <row r="1664" ht="20" customHeight="1" spans="1:7" x14ac:dyDescent="0.25">
      <c r="A1664" s="20" t="s">
        <v>24</v>
      </c>
      <c r="B1664" s="21" t="s">
        <v>25</v>
      </c>
      <c r="C1664" s="21" t="s">
        <v>26</v>
      </c>
      <c r="D1664" s="21" t="s">
        <v>27</v>
      </c>
      <c r="E1664" s="22" t="s">
        <v>23</v>
      </c>
      <c r="F1664" s="20" t="s">
        <v>27</v>
      </c>
      <c r="G1664" s="20" t="s">
        <v>27</v>
      </c>
    </row>
    <row r="1665" ht="22" customHeight="1" spans="1:7" x14ac:dyDescent="0.25">
      <c r="A1665" s="16" t="s">
        <v>28</v>
      </c>
      <c r="B1665" s="17" t="s">
        <v>19</v>
      </c>
      <c r="C1665" s="17" t="s">
        <v>723</v>
      </c>
      <c r="D1665" s="17" t="s">
        <v>21</v>
      </c>
      <c r="E1665" s="18">
        <v>20.5</v>
      </c>
      <c r="F1665" s="19" t="s">
        <v>22</v>
      </c>
      <c r="G1665" s="16" t="s">
        <v>23</v>
      </c>
    </row>
    <row r="1666" ht="20" customHeight="1" spans="1:7" x14ac:dyDescent="0.25">
      <c r="A1666" s="20" t="s">
        <v>30</v>
      </c>
      <c r="B1666" s="21" t="s">
        <v>25</v>
      </c>
      <c r="C1666" s="21" t="s">
        <v>26</v>
      </c>
      <c r="D1666" s="21" t="s">
        <v>27</v>
      </c>
      <c r="E1666" s="22" t="s">
        <v>23</v>
      </c>
      <c r="F1666" s="20" t="s">
        <v>27</v>
      </c>
      <c r="G1666" s="20" t="s">
        <v>27</v>
      </c>
    </row>
    <row r="1667" ht="22" customHeight="1" spans="1:7" x14ac:dyDescent="0.25">
      <c r="A1667" s="16" t="s">
        <v>31</v>
      </c>
      <c r="B1667" s="17" t="s">
        <v>32</v>
      </c>
      <c r="C1667" s="17" t="s">
        <v>724</v>
      </c>
      <c r="D1667" s="17" t="s">
        <v>34</v>
      </c>
      <c r="E1667" s="18">
        <v>85.8</v>
      </c>
      <c r="F1667" s="19" t="s">
        <v>22</v>
      </c>
      <c r="G1667" s="16" t="s">
        <v>23</v>
      </c>
    </row>
    <row r="1668" ht="20" customHeight="1" spans="1:7" x14ac:dyDescent="0.25">
      <c r="A1668" s="20" t="s">
        <v>35</v>
      </c>
      <c r="B1668" s="21" t="s">
        <v>25</v>
      </c>
      <c r="C1668" s="21" t="s">
        <v>26</v>
      </c>
      <c r="D1668" s="21" t="s">
        <v>27</v>
      </c>
      <c r="E1668" s="22" t="s">
        <v>23</v>
      </c>
      <c r="F1668" s="20" t="s">
        <v>27</v>
      </c>
      <c r="G1668" s="20" t="s">
        <v>27</v>
      </c>
    </row>
    <row r="1669" ht="22" customHeight="1" spans="1:7" x14ac:dyDescent="0.25">
      <c r="A1669" s="16" t="s">
        <v>36</v>
      </c>
      <c r="B1669" s="17" t="s">
        <v>32</v>
      </c>
      <c r="C1669" s="17" t="s">
        <v>725</v>
      </c>
      <c r="D1669" s="17" t="s">
        <v>34</v>
      </c>
      <c r="E1669" s="18">
        <v>35.4</v>
      </c>
      <c r="F1669" s="19" t="s">
        <v>22</v>
      </c>
      <c r="G1669" s="16" t="s">
        <v>23</v>
      </c>
    </row>
    <row r="1670" ht="24" customHeight="1" spans="1:7" x14ac:dyDescent="0.25">
      <c r="A1670" s="23" t="s">
        <v>38</v>
      </c>
      <c r="B1670" s="23" t="s">
        <v>39</v>
      </c>
      <c r="C1670" s="24" t="s">
        <v>40</v>
      </c>
      <c r="D1670" s="24" t="s">
        <v>41</v>
      </c>
      <c r="E1670" s="25">
        <f>SUM(E1663,E1665,E1667,E1669)</f>
        <v>160.1</v>
      </c>
      <c r="F1670" s="23" t="str">
        <f>ROUND(E1670/60, 1) &amp; " Saat"</f>
        <v>2.7 Saat</v>
      </c>
      <c r="G1670" s="23" t="str">
        <f>COUNTIF(G1663:G1669, "X") &amp; "/4"</f>
        <v>0/4</v>
      </c>
    </row>
    <row r="1671" ht="22" customHeight="1" spans="1:7" x14ac:dyDescent="0.25">
      <c r="A1671" s="15" t="s">
        <v>42</v>
      </c>
      <c r="B1671" s="15"/>
      <c r="C1671" s="15"/>
      <c r="D1671" s="15"/>
      <c r="E1671" s="15"/>
      <c r="F1671" s="15"/>
      <c r="G1671" s="15"/>
    </row>
    <row r="1672" ht="22" customHeight="1" spans="1:7" x14ac:dyDescent="0.25">
      <c r="A1672" s="16" t="s">
        <v>18</v>
      </c>
      <c r="B1672" s="17" t="s">
        <v>43</v>
      </c>
      <c r="C1672" s="17" t="s">
        <v>726</v>
      </c>
      <c r="D1672" s="17" t="s">
        <v>45</v>
      </c>
      <c r="E1672" s="18">
        <v>16.5</v>
      </c>
      <c r="F1672" s="19" t="s">
        <v>22</v>
      </c>
      <c r="G1672" s="16" t="s">
        <v>23</v>
      </c>
    </row>
    <row r="1673" ht="20" customHeight="1" spans="1:7" x14ac:dyDescent="0.25">
      <c r="A1673" s="20" t="s">
        <v>24</v>
      </c>
      <c r="B1673" s="21" t="s">
        <v>25</v>
      </c>
      <c r="C1673" s="21" t="s">
        <v>26</v>
      </c>
      <c r="D1673" s="21" t="s">
        <v>27</v>
      </c>
      <c r="E1673" s="22" t="s">
        <v>23</v>
      </c>
      <c r="F1673" s="20" t="s">
        <v>27</v>
      </c>
      <c r="G1673" s="20" t="s">
        <v>27</v>
      </c>
    </row>
    <row r="1674" ht="22" customHeight="1" spans="1:7" x14ac:dyDescent="0.25">
      <c r="A1674" s="16" t="s">
        <v>28</v>
      </c>
      <c r="B1674" s="17" t="s">
        <v>43</v>
      </c>
      <c r="C1674" s="17" t="s">
        <v>727</v>
      </c>
      <c r="D1674" s="17" t="s">
        <v>45</v>
      </c>
      <c r="E1674" s="18">
        <v>53.6</v>
      </c>
      <c r="F1674" s="19" t="s">
        <v>22</v>
      </c>
      <c r="G1674" s="16" t="s">
        <v>23</v>
      </c>
    </row>
    <row r="1675" ht="20" customHeight="1" spans="1:7" x14ac:dyDescent="0.25">
      <c r="A1675" s="20" t="s">
        <v>30</v>
      </c>
      <c r="B1675" s="21" t="s">
        <v>25</v>
      </c>
      <c r="C1675" s="21" t="s">
        <v>26</v>
      </c>
      <c r="D1675" s="21" t="s">
        <v>27</v>
      </c>
      <c r="E1675" s="22" t="s">
        <v>23</v>
      </c>
      <c r="F1675" s="20" t="s">
        <v>27</v>
      </c>
      <c r="G1675" s="20" t="s">
        <v>27</v>
      </c>
    </row>
    <row r="1676" ht="22" customHeight="1" spans="1:7" x14ac:dyDescent="0.25">
      <c r="A1676" s="16" t="s">
        <v>31</v>
      </c>
      <c r="B1676" s="17" t="s">
        <v>47</v>
      </c>
      <c r="C1676" s="17" t="s">
        <v>728</v>
      </c>
      <c r="D1676" s="17" t="s">
        <v>49</v>
      </c>
      <c r="E1676" s="18">
        <v>38.2</v>
      </c>
      <c r="F1676" s="19" t="s">
        <v>22</v>
      </c>
      <c r="G1676" s="16" t="s">
        <v>23</v>
      </c>
    </row>
    <row r="1677" ht="20" customHeight="1" spans="1:7" x14ac:dyDescent="0.25">
      <c r="A1677" s="20" t="s">
        <v>35</v>
      </c>
      <c r="B1677" s="21" t="s">
        <v>25</v>
      </c>
      <c r="C1677" s="21" t="s">
        <v>26</v>
      </c>
      <c r="D1677" s="21" t="s">
        <v>27</v>
      </c>
      <c r="E1677" s="22" t="s">
        <v>23</v>
      </c>
      <c r="F1677" s="20" t="s">
        <v>27</v>
      </c>
      <c r="G1677" s="20" t="s">
        <v>27</v>
      </c>
    </row>
    <row r="1678" ht="22" customHeight="1" spans="1:7" x14ac:dyDescent="0.25">
      <c r="A1678" s="16" t="s">
        <v>36</v>
      </c>
      <c r="B1678" s="17" t="s">
        <v>47</v>
      </c>
      <c r="C1678" s="17" t="s">
        <v>729</v>
      </c>
      <c r="D1678" s="17" t="s">
        <v>49</v>
      </c>
      <c r="E1678" s="18">
        <v>58.2</v>
      </c>
      <c r="F1678" s="19" t="s">
        <v>22</v>
      </c>
      <c r="G1678" s="16" t="s">
        <v>23</v>
      </c>
    </row>
    <row r="1679" ht="24" customHeight="1" spans="1:7" x14ac:dyDescent="0.25">
      <c r="A1679" s="23" t="s">
        <v>38</v>
      </c>
      <c r="B1679" s="23" t="s">
        <v>39</v>
      </c>
      <c r="C1679" s="24" t="s">
        <v>40</v>
      </c>
      <c r="D1679" s="24" t="s">
        <v>41</v>
      </c>
      <c r="E1679" s="25">
        <f>SUM(E1672,E1674,E1676,E1678)</f>
        <v>166.5</v>
      </c>
      <c r="F1679" s="23" t="str">
        <f>ROUND(E1679/60, 1) &amp; " Saat"</f>
        <v>2.8 Saat</v>
      </c>
      <c r="G1679" s="23" t="str">
        <f>COUNTIF(G1672:G1678, "X") &amp; "/4"</f>
        <v>0/4</v>
      </c>
    </row>
    <row r="1680" ht="22" customHeight="1" spans="1:7" x14ac:dyDescent="0.25">
      <c r="A1680" s="15" t="s">
        <v>51</v>
      </c>
      <c r="B1680" s="15"/>
      <c r="C1680" s="15"/>
      <c r="D1680" s="15"/>
      <c r="E1680" s="15"/>
      <c r="F1680" s="15"/>
      <c r="G1680" s="15"/>
    </row>
    <row r="1681" ht="22" customHeight="1" spans="1:7" x14ac:dyDescent="0.25">
      <c r="A1681" s="16" t="s">
        <v>18</v>
      </c>
      <c r="B1681" s="17" t="s">
        <v>52</v>
      </c>
      <c r="C1681" s="17" t="s">
        <v>467</v>
      </c>
      <c r="D1681" s="17" t="s">
        <v>23</v>
      </c>
      <c r="E1681" s="18">
        <v>40</v>
      </c>
      <c r="F1681" s="16" t="s">
        <v>27</v>
      </c>
      <c r="G1681" s="16" t="s">
        <v>23</v>
      </c>
    </row>
    <row r="1682" ht="20" customHeight="1" spans="1:7" x14ac:dyDescent="0.25">
      <c r="A1682" s="20" t="s">
        <v>24</v>
      </c>
      <c r="B1682" s="21" t="s">
        <v>25</v>
      </c>
      <c r="C1682" s="21" t="s">
        <v>26</v>
      </c>
      <c r="D1682" s="21" t="s">
        <v>27</v>
      </c>
      <c r="E1682" s="22" t="s">
        <v>23</v>
      </c>
      <c r="F1682" s="20" t="s">
        <v>27</v>
      </c>
      <c r="G1682" s="20" t="s">
        <v>27</v>
      </c>
    </row>
    <row r="1683" ht="22" customHeight="1" spans="1:7" x14ac:dyDescent="0.25">
      <c r="A1683" s="16" t="s">
        <v>28</v>
      </c>
      <c r="B1683" s="17" t="s">
        <v>52</v>
      </c>
      <c r="C1683" s="17" t="s">
        <v>467</v>
      </c>
      <c r="D1683" s="17" t="s">
        <v>23</v>
      </c>
      <c r="E1683" s="18">
        <v>40</v>
      </c>
      <c r="F1683" s="16" t="s">
        <v>27</v>
      </c>
      <c r="G1683" s="16" t="s">
        <v>23</v>
      </c>
    </row>
    <row r="1684" ht="20" customHeight="1" spans="1:7" x14ac:dyDescent="0.25">
      <c r="A1684" s="20" t="s">
        <v>30</v>
      </c>
      <c r="B1684" s="21" t="s">
        <v>25</v>
      </c>
      <c r="C1684" s="21" t="s">
        <v>26</v>
      </c>
      <c r="D1684" s="21" t="s">
        <v>27</v>
      </c>
      <c r="E1684" s="22" t="s">
        <v>23</v>
      </c>
      <c r="F1684" s="20" t="s">
        <v>27</v>
      </c>
      <c r="G1684" s="20" t="s">
        <v>27</v>
      </c>
    </row>
    <row r="1685" ht="22" customHeight="1" spans="1:7" x14ac:dyDescent="0.25">
      <c r="A1685" s="16" t="s">
        <v>31</v>
      </c>
      <c r="B1685" s="17" t="s">
        <v>56</v>
      </c>
      <c r="C1685" s="17" t="s">
        <v>467</v>
      </c>
      <c r="D1685" s="17" t="s">
        <v>23</v>
      </c>
      <c r="E1685" s="18">
        <v>40</v>
      </c>
      <c r="F1685" s="16" t="s">
        <v>27</v>
      </c>
      <c r="G1685" s="16" t="s">
        <v>23</v>
      </c>
    </row>
    <row r="1686" ht="20" customHeight="1" spans="1:7" x14ac:dyDescent="0.25">
      <c r="A1686" s="20" t="s">
        <v>35</v>
      </c>
      <c r="B1686" s="21" t="s">
        <v>25</v>
      </c>
      <c r="C1686" s="21" t="s">
        <v>26</v>
      </c>
      <c r="D1686" s="21" t="s">
        <v>27</v>
      </c>
      <c r="E1686" s="22" t="s">
        <v>23</v>
      </c>
      <c r="F1686" s="20" t="s">
        <v>27</v>
      </c>
      <c r="G1686" s="20" t="s">
        <v>27</v>
      </c>
    </row>
    <row r="1687" ht="22" customHeight="1" spans="1:7" x14ac:dyDescent="0.25">
      <c r="A1687" s="16" t="s">
        <v>36</v>
      </c>
      <c r="B1687" s="17" t="s">
        <v>56</v>
      </c>
      <c r="C1687" s="17" t="s">
        <v>467</v>
      </c>
      <c r="D1687" s="17" t="s">
        <v>23</v>
      </c>
      <c r="E1687" s="18">
        <v>40</v>
      </c>
      <c r="F1687" s="16" t="s">
        <v>27</v>
      </c>
      <c r="G1687" s="16" t="s">
        <v>23</v>
      </c>
    </row>
    <row r="1688" ht="24" customHeight="1" spans="1:7" x14ac:dyDescent="0.25">
      <c r="A1688" s="23" t="s">
        <v>38</v>
      </c>
      <c r="B1688" s="23" t="s">
        <v>39</v>
      </c>
      <c r="C1688" s="24" t="s">
        <v>40</v>
      </c>
      <c r="D1688" s="24" t="s">
        <v>41</v>
      </c>
      <c r="E1688" s="25">
        <f>SUM(E1681,E1683,E1685,E1687)</f>
        <v>160</v>
      </c>
      <c r="F1688" s="23" t="str">
        <f>ROUND(E1688/60, 1) &amp; " Saat"</f>
        <v>2.7 Saat</v>
      </c>
      <c r="G1688" s="23" t="str">
        <f>COUNTIF(G1681:G1687, "X") &amp; "/4"</f>
        <v>0/4</v>
      </c>
    </row>
    <row r="1689" ht="22" customHeight="1" spans="1:7" x14ac:dyDescent="0.25">
      <c r="A1689" s="15" t="s">
        <v>60</v>
      </c>
      <c r="B1689" s="15"/>
      <c r="C1689" s="15"/>
      <c r="D1689" s="15"/>
      <c r="E1689" s="15"/>
      <c r="F1689" s="15"/>
      <c r="G1689" s="15"/>
    </row>
    <row r="1690" ht="22" customHeight="1" spans="1:7" x14ac:dyDescent="0.25">
      <c r="A1690" s="16" t="s">
        <v>18</v>
      </c>
      <c r="B1690" s="17" t="s">
        <v>43</v>
      </c>
      <c r="C1690" s="17" t="s">
        <v>467</v>
      </c>
      <c r="D1690" s="17" t="s">
        <v>23</v>
      </c>
      <c r="E1690" s="18">
        <v>40</v>
      </c>
      <c r="F1690" s="16" t="s">
        <v>27</v>
      </c>
      <c r="G1690" s="16" t="s">
        <v>23</v>
      </c>
    </row>
    <row r="1691" ht="20" customHeight="1" spans="1:7" x14ac:dyDescent="0.25">
      <c r="A1691" s="20" t="s">
        <v>24</v>
      </c>
      <c r="B1691" s="21" t="s">
        <v>25</v>
      </c>
      <c r="C1691" s="21" t="s">
        <v>26</v>
      </c>
      <c r="D1691" s="21" t="s">
        <v>27</v>
      </c>
      <c r="E1691" s="22" t="s">
        <v>23</v>
      </c>
      <c r="F1691" s="20" t="s">
        <v>27</v>
      </c>
      <c r="G1691" s="20" t="s">
        <v>27</v>
      </c>
    </row>
    <row r="1692" ht="22" customHeight="1" spans="1:7" x14ac:dyDescent="0.25">
      <c r="A1692" s="16" t="s">
        <v>28</v>
      </c>
      <c r="B1692" s="17" t="s">
        <v>43</v>
      </c>
      <c r="C1692" s="17" t="s">
        <v>467</v>
      </c>
      <c r="D1692" s="17" t="s">
        <v>23</v>
      </c>
      <c r="E1692" s="18">
        <v>40</v>
      </c>
      <c r="F1692" s="16" t="s">
        <v>27</v>
      </c>
      <c r="G1692" s="16" t="s">
        <v>23</v>
      </c>
    </row>
    <row r="1693" ht="20" customHeight="1" spans="1:7" x14ac:dyDescent="0.25">
      <c r="A1693" s="20" t="s">
        <v>30</v>
      </c>
      <c r="B1693" s="21" t="s">
        <v>25</v>
      </c>
      <c r="C1693" s="21" t="s">
        <v>26</v>
      </c>
      <c r="D1693" s="21" t="s">
        <v>27</v>
      </c>
      <c r="E1693" s="22" t="s">
        <v>23</v>
      </c>
      <c r="F1693" s="20" t="s">
        <v>27</v>
      </c>
      <c r="G1693" s="20" t="s">
        <v>27</v>
      </c>
    </row>
    <row r="1694" ht="22" customHeight="1" spans="1:7" x14ac:dyDescent="0.25">
      <c r="A1694" s="16" t="s">
        <v>31</v>
      </c>
      <c r="B1694" s="17" t="s">
        <v>63</v>
      </c>
      <c r="C1694" s="17" t="s">
        <v>730</v>
      </c>
      <c r="D1694" s="17" t="s">
        <v>65</v>
      </c>
      <c r="E1694" s="18">
        <v>19.6</v>
      </c>
      <c r="F1694" s="19" t="s">
        <v>22</v>
      </c>
      <c r="G1694" s="16" t="s">
        <v>23</v>
      </c>
    </row>
    <row r="1695" ht="20" customHeight="1" spans="1:7" x14ac:dyDescent="0.25">
      <c r="A1695" s="20" t="s">
        <v>35</v>
      </c>
      <c r="B1695" s="21" t="s">
        <v>25</v>
      </c>
      <c r="C1695" s="21" t="s">
        <v>26</v>
      </c>
      <c r="D1695" s="21" t="s">
        <v>27</v>
      </c>
      <c r="E1695" s="22" t="s">
        <v>23</v>
      </c>
      <c r="F1695" s="20" t="s">
        <v>27</v>
      </c>
      <c r="G1695" s="20" t="s">
        <v>27</v>
      </c>
    </row>
    <row r="1696" ht="22" customHeight="1" spans="1:7" x14ac:dyDescent="0.25">
      <c r="A1696" s="16" t="s">
        <v>36</v>
      </c>
      <c r="B1696" s="17" t="s">
        <v>63</v>
      </c>
      <c r="C1696" s="17" t="s">
        <v>731</v>
      </c>
      <c r="D1696" s="17" t="s">
        <v>65</v>
      </c>
      <c r="E1696" s="18">
        <v>25.8</v>
      </c>
      <c r="F1696" s="19" t="s">
        <v>22</v>
      </c>
      <c r="G1696" s="16" t="s">
        <v>23</v>
      </c>
    </row>
    <row r="1697" ht="24" customHeight="1" spans="1:7" x14ac:dyDescent="0.25">
      <c r="A1697" s="23" t="s">
        <v>38</v>
      </c>
      <c r="B1697" s="23" t="s">
        <v>39</v>
      </c>
      <c r="C1697" s="24" t="s">
        <v>40</v>
      </c>
      <c r="D1697" s="24" t="s">
        <v>41</v>
      </c>
      <c r="E1697" s="25">
        <f>SUM(E1690,E1692,E1694,E1696)</f>
        <v>125.4</v>
      </c>
      <c r="F1697" s="23" t="str">
        <f>ROUND(E1697/60, 1) &amp; " Saat"</f>
        <v>2.1 Saat</v>
      </c>
      <c r="G1697" s="23" t="str">
        <f>COUNTIF(G1690:G1696, "X") &amp; "/4"</f>
        <v>0/4</v>
      </c>
    </row>
    <row r="1698" ht="22" customHeight="1" spans="1:7" x14ac:dyDescent="0.25">
      <c r="A1698" s="15" t="s">
        <v>67</v>
      </c>
      <c r="B1698" s="15"/>
      <c r="C1698" s="15"/>
      <c r="D1698" s="15"/>
      <c r="E1698" s="15"/>
      <c r="F1698" s="15"/>
      <c r="G1698" s="15"/>
    </row>
    <row r="1699" ht="22" customHeight="1" spans="1:7" x14ac:dyDescent="0.25">
      <c r="A1699" s="16" t="s">
        <v>18</v>
      </c>
      <c r="B1699" s="17" t="s">
        <v>68</v>
      </c>
      <c r="C1699" s="17" t="s">
        <v>732</v>
      </c>
      <c r="D1699" s="17" t="s">
        <v>70</v>
      </c>
      <c r="E1699" s="18">
        <v>37.6</v>
      </c>
      <c r="F1699" s="19" t="s">
        <v>22</v>
      </c>
      <c r="G1699" s="16" t="s">
        <v>23</v>
      </c>
    </row>
    <row r="1700" ht="20" customHeight="1" spans="1:7" x14ac:dyDescent="0.25">
      <c r="A1700" s="20" t="s">
        <v>24</v>
      </c>
      <c r="B1700" s="21" t="s">
        <v>25</v>
      </c>
      <c r="C1700" s="21" t="s">
        <v>26</v>
      </c>
      <c r="D1700" s="21" t="s">
        <v>27</v>
      </c>
      <c r="E1700" s="22" t="s">
        <v>23</v>
      </c>
      <c r="F1700" s="20" t="s">
        <v>27</v>
      </c>
      <c r="G1700" s="20" t="s">
        <v>27</v>
      </c>
    </row>
    <row r="1701" ht="22" customHeight="1" spans="1:7" x14ac:dyDescent="0.25">
      <c r="A1701" s="16" t="s">
        <v>28</v>
      </c>
      <c r="B1701" s="17" t="s">
        <v>68</v>
      </c>
      <c r="C1701" s="17" t="s">
        <v>733</v>
      </c>
      <c r="D1701" s="17" t="s">
        <v>70</v>
      </c>
      <c r="E1701" s="18">
        <v>27.2</v>
      </c>
      <c r="F1701" s="19" t="s">
        <v>22</v>
      </c>
      <c r="G1701" s="16" t="s">
        <v>23</v>
      </c>
    </row>
    <row r="1702" ht="20" customHeight="1" spans="1:7" x14ac:dyDescent="0.25">
      <c r="A1702" s="20" t="s">
        <v>30</v>
      </c>
      <c r="B1702" s="21" t="s">
        <v>25</v>
      </c>
      <c r="C1702" s="21" t="s">
        <v>26</v>
      </c>
      <c r="D1702" s="21" t="s">
        <v>27</v>
      </c>
      <c r="E1702" s="22" t="s">
        <v>23</v>
      </c>
      <c r="F1702" s="20" t="s">
        <v>27</v>
      </c>
      <c r="G1702" s="20" t="s">
        <v>27</v>
      </c>
    </row>
    <row r="1703" ht="22" customHeight="1" spans="1:7" x14ac:dyDescent="0.25">
      <c r="A1703" s="16" t="s">
        <v>31</v>
      </c>
      <c r="B1703" s="17" t="s">
        <v>449</v>
      </c>
      <c r="C1703" s="17" t="s">
        <v>734</v>
      </c>
      <c r="D1703" s="17" t="s">
        <v>34</v>
      </c>
      <c r="E1703" s="18">
        <v>42.8</v>
      </c>
      <c r="F1703" s="19" t="s">
        <v>22</v>
      </c>
      <c r="G1703" s="16" t="s">
        <v>23</v>
      </c>
    </row>
    <row r="1704" ht="20" customHeight="1" spans="1:7" x14ac:dyDescent="0.25">
      <c r="A1704" s="20" t="s">
        <v>35</v>
      </c>
      <c r="B1704" s="21" t="s">
        <v>25</v>
      </c>
      <c r="C1704" s="21" t="s">
        <v>26</v>
      </c>
      <c r="D1704" s="21" t="s">
        <v>27</v>
      </c>
      <c r="E1704" s="22" t="s">
        <v>23</v>
      </c>
      <c r="F1704" s="20" t="s">
        <v>27</v>
      </c>
      <c r="G1704" s="20" t="s">
        <v>27</v>
      </c>
    </row>
    <row r="1705" ht="22" customHeight="1" spans="1:7" x14ac:dyDescent="0.25">
      <c r="A1705" s="16" t="s">
        <v>36</v>
      </c>
      <c r="B1705" s="17" t="s">
        <v>449</v>
      </c>
      <c r="C1705" s="17" t="s">
        <v>735</v>
      </c>
      <c r="D1705" s="17" t="s">
        <v>34</v>
      </c>
      <c r="E1705" s="18">
        <v>32.9</v>
      </c>
      <c r="F1705" s="19" t="s">
        <v>22</v>
      </c>
      <c r="G1705" s="16" t="s">
        <v>23</v>
      </c>
    </row>
    <row r="1706" ht="24" customHeight="1" spans="1:7" x14ac:dyDescent="0.25">
      <c r="A1706" s="23" t="s">
        <v>38</v>
      </c>
      <c r="B1706" s="23" t="s">
        <v>39</v>
      </c>
      <c r="C1706" s="24" t="s">
        <v>40</v>
      </c>
      <c r="D1706" s="24" t="s">
        <v>41</v>
      </c>
      <c r="E1706" s="25">
        <f>SUM(E1699,E1701,E1703,E1705)</f>
        <v>140.5</v>
      </c>
      <c r="F1706" s="23" t="str">
        <f>ROUND(E1706/60, 1) &amp; " Saat"</f>
        <v>2.3 Saat</v>
      </c>
      <c r="G1706" s="23" t="str">
        <f>COUNTIF(G1699:G1705, "X") &amp; "/4"</f>
        <v>0/4</v>
      </c>
    </row>
    <row r="1707" ht="22" customHeight="1" spans="1:7" x14ac:dyDescent="0.25">
      <c r="A1707" s="15" t="s">
        <v>74</v>
      </c>
      <c r="B1707" s="15"/>
      <c r="C1707" s="15"/>
      <c r="D1707" s="15"/>
      <c r="E1707" s="15"/>
      <c r="F1707" s="15"/>
      <c r="G1707" s="15"/>
    </row>
    <row r="1708" ht="22" customHeight="1" spans="1:7" x14ac:dyDescent="0.25">
      <c r="A1708" s="16" t="s">
        <v>18</v>
      </c>
      <c r="B1708" s="17" t="s">
        <v>47</v>
      </c>
      <c r="C1708" s="17" t="s">
        <v>736</v>
      </c>
      <c r="D1708" s="17" t="s">
        <v>49</v>
      </c>
      <c r="E1708" s="18">
        <v>47</v>
      </c>
      <c r="F1708" s="19" t="s">
        <v>22</v>
      </c>
      <c r="G1708" s="16" t="s">
        <v>23</v>
      </c>
    </row>
    <row r="1709" ht="20" customHeight="1" spans="1:7" x14ac:dyDescent="0.25">
      <c r="A1709" s="20" t="s">
        <v>24</v>
      </c>
      <c r="B1709" s="21" t="s">
        <v>25</v>
      </c>
      <c r="C1709" s="21" t="s">
        <v>26</v>
      </c>
      <c r="D1709" s="21" t="s">
        <v>27</v>
      </c>
      <c r="E1709" s="22" t="s">
        <v>23</v>
      </c>
      <c r="F1709" s="20" t="s">
        <v>27</v>
      </c>
      <c r="G1709" s="20" t="s">
        <v>27</v>
      </c>
    </row>
    <row r="1710" ht="22" customHeight="1" spans="1:7" x14ac:dyDescent="0.25">
      <c r="A1710" s="16" t="s">
        <v>28</v>
      </c>
      <c r="B1710" s="17" t="s">
        <v>47</v>
      </c>
      <c r="C1710" s="17" t="s">
        <v>737</v>
      </c>
      <c r="D1710" s="17" t="s">
        <v>49</v>
      </c>
      <c r="E1710" s="18">
        <v>53.3</v>
      </c>
      <c r="F1710" s="19" t="s">
        <v>22</v>
      </c>
      <c r="G1710" s="16" t="s">
        <v>23</v>
      </c>
    </row>
    <row r="1711" ht="20" customHeight="1" spans="1:7" x14ac:dyDescent="0.25">
      <c r="A1711" s="20" t="s">
        <v>30</v>
      </c>
      <c r="B1711" s="21" t="s">
        <v>25</v>
      </c>
      <c r="C1711" s="21" t="s">
        <v>26</v>
      </c>
      <c r="D1711" s="21" t="s">
        <v>27</v>
      </c>
      <c r="E1711" s="22" t="s">
        <v>23</v>
      </c>
      <c r="F1711" s="20" t="s">
        <v>27</v>
      </c>
      <c r="G1711" s="20" t="s">
        <v>27</v>
      </c>
    </row>
    <row r="1712" ht="22" customHeight="1" spans="1:7" x14ac:dyDescent="0.25">
      <c r="A1712" s="16" t="s">
        <v>31</v>
      </c>
      <c r="B1712" s="17" t="s">
        <v>568</v>
      </c>
      <c r="C1712" s="17" t="s">
        <v>467</v>
      </c>
      <c r="D1712" s="17" t="s">
        <v>23</v>
      </c>
      <c r="E1712" s="18">
        <v>40</v>
      </c>
      <c r="F1712" s="16" t="s">
        <v>27</v>
      </c>
      <c r="G1712" s="16" t="s">
        <v>23</v>
      </c>
    </row>
    <row r="1713" ht="20" customHeight="1" spans="1:7" x14ac:dyDescent="0.25">
      <c r="A1713" s="20" t="s">
        <v>35</v>
      </c>
      <c r="B1713" s="21" t="s">
        <v>25</v>
      </c>
      <c r="C1713" s="21" t="s">
        <v>26</v>
      </c>
      <c r="D1713" s="21" t="s">
        <v>27</v>
      </c>
      <c r="E1713" s="22" t="s">
        <v>23</v>
      </c>
      <c r="F1713" s="20" t="s">
        <v>27</v>
      </c>
      <c r="G1713" s="20" t="s">
        <v>27</v>
      </c>
    </row>
    <row r="1714" ht="22" customHeight="1" spans="1:7" x14ac:dyDescent="0.25">
      <c r="A1714" s="16" t="s">
        <v>36</v>
      </c>
      <c r="B1714" s="17" t="s">
        <v>568</v>
      </c>
      <c r="C1714" s="17" t="s">
        <v>467</v>
      </c>
      <c r="D1714" s="17" t="s">
        <v>23</v>
      </c>
      <c r="E1714" s="18">
        <v>40</v>
      </c>
      <c r="F1714" s="16" t="s">
        <v>27</v>
      </c>
      <c r="G1714" s="16" t="s">
        <v>23</v>
      </c>
    </row>
    <row r="1715" ht="24" customHeight="1" spans="1:7" x14ac:dyDescent="0.25">
      <c r="A1715" s="23" t="s">
        <v>38</v>
      </c>
      <c r="B1715" s="23" t="s">
        <v>39</v>
      </c>
      <c r="C1715" s="24" t="s">
        <v>40</v>
      </c>
      <c r="D1715" s="24" t="s">
        <v>41</v>
      </c>
      <c r="E1715" s="25">
        <f>SUM(E1708,E1710,E1712,E1714)</f>
        <v>180.3</v>
      </c>
      <c r="F1715" s="23" t="str">
        <f>ROUND(E1715/60, 1) &amp; " Saat"</f>
        <v>3.0 Saat</v>
      </c>
      <c r="G1715" s="23" t="str">
        <f>COUNTIF(G1708:G1714, "X") &amp; "/4"</f>
        <v>0/4</v>
      </c>
    </row>
    <row r="1716" ht="28" customHeight="1" spans="1:7" x14ac:dyDescent="0.25">
      <c r="A1716" s="26" t="s">
        <v>79</v>
      </c>
      <c r="B1716" s="26"/>
      <c r="C1716" s="26"/>
      <c r="D1716" s="26"/>
      <c r="E1716" s="26"/>
      <c r="F1716" s="26"/>
      <c r="G1716" s="26"/>
    </row>
    <row r="1717" ht="8" customHeight="1" x14ac:dyDescent="0.25"/>
    <row r="1718" ht="25" customHeight="1" spans="1:7" x14ac:dyDescent="0.25">
      <c r="A1718" s="14" t="s">
        <v>738</v>
      </c>
      <c r="B1718" s="14"/>
      <c r="C1718" s="14"/>
      <c r="D1718" s="14"/>
      <c r="E1718" s="14"/>
      <c r="F1718" s="14"/>
      <c r="G1718" s="14"/>
    </row>
    <row r="1719" ht="22" customHeight="1" spans="1:7" x14ac:dyDescent="0.25">
      <c r="A1719" s="15" t="s">
        <v>17</v>
      </c>
      <c r="B1719" s="15"/>
      <c r="C1719" s="15"/>
      <c r="D1719" s="15"/>
      <c r="E1719" s="15"/>
      <c r="F1719" s="15"/>
      <c r="G1719" s="15"/>
    </row>
    <row r="1720" ht="22" customHeight="1" spans="1:7" x14ac:dyDescent="0.25">
      <c r="A1720" s="16" t="s">
        <v>18</v>
      </c>
      <c r="B1720" s="17" t="s">
        <v>19</v>
      </c>
      <c r="C1720" s="17" t="s">
        <v>739</v>
      </c>
      <c r="D1720" s="17" t="s">
        <v>21</v>
      </c>
      <c r="E1720" s="18">
        <v>20.6</v>
      </c>
      <c r="F1720" s="19" t="s">
        <v>22</v>
      </c>
      <c r="G1720" s="16" t="s">
        <v>23</v>
      </c>
    </row>
    <row r="1721" ht="20" customHeight="1" spans="1:7" x14ac:dyDescent="0.25">
      <c r="A1721" s="20" t="s">
        <v>24</v>
      </c>
      <c r="B1721" s="21" t="s">
        <v>25</v>
      </c>
      <c r="C1721" s="21" t="s">
        <v>26</v>
      </c>
      <c r="D1721" s="21" t="s">
        <v>27</v>
      </c>
      <c r="E1721" s="22" t="s">
        <v>23</v>
      </c>
      <c r="F1721" s="20" t="s">
        <v>27</v>
      </c>
      <c r="G1721" s="20" t="s">
        <v>27</v>
      </c>
    </row>
    <row r="1722" ht="22" customHeight="1" spans="1:7" x14ac:dyDescent="0.25">
      <c r="A1722" s="16" t="s">
        <v>28</v>
      </c>
      <c r="B1722" s="17" t="s">
        <v>19</v>
      </c>
      <c r="C1722" s="17" t="s">
        <v>740</v>
      </c>
      <c r="D1722" s="17" t="s">
        <v>21</v>
      </c>
      <c r="E1722" s="18">
        <v>14.8</v>
      </c>
      <c r="F1722" s="19" t="s">
        <v>22</v>
      </c>
      <c r="G1722" s="16" t="s">
        <v>23</v>
      </c>
    </row>
    <row r="1723" ht="20" customHeight="1" spans="1:7" x14ac:dyDescent="0.25">
      <c r="A1723" s="20" t="s">
        <v>30</v>
      </c>
      <c r="B1723" s="21" t="s">
        <v>25</v>
      </c>
      <c r="C1723" s="21" t="s">
        <v>26</v>
      </c>
      <c r="D1723" s="21" t="s">
        <v>27</v>
      </c>
      <c r="E1723" s="22" t="s">
        <v>23</v>
      </c>
      <c r="F1723" s="20" t="s">
        <v>27</v>
      </c>
      <c r="G1723" s="20" t="s">
        <v>27</v>
      </c>
    </row>
    <row r="1724" ht="22" customHeight="1" spans="1:7" x14ac:dyDescent="0.25">
      <c r="A1724" s="16" t="s">
        <v>31</v>
      </c>
      <c r="B1724" s="17" t="s">
        <v>32</v>
      </c>
      <c r="C1724" s="17" t="s">
        <v>467</v>
      </c>
      <c r="D1724" s="17" t="s">
        <v>23</v>
      </c>
      <c r="E1724" s="18">
        <v>40</v>
      </c>
      <c r="F1724" s="16" t="s">
        <v>27</v>
      </c>
      <c r="G1724" s="16" t="s">
        <v>23</v>
      </c>
    </row>
    <row r="1725" ht="20" customHeight="1" spans="1:7" x14ac:dyDescent="0.25">
      <c r="A1725" s="20" t="s">
        <v>35</v>
      </c>
      <c r="B1725" s="21" t="s">
        <v>25</v>
      </c>
      <c r="C1725" s="21" t="s">
        <v>26</v>
      </c>
      <c r="D1725" s="21" t="s">
        <v>27</v>
      </c>
      <c r="E1725" s="22" t="s">
        <v>23</v>
      </c>
      <c r="F1725" s="20" t="s">
        <v>27</v>
      </c>
      <c r="G1725" s="20" t="s">
        <v>27</v>
      </c>
    </row>
    <row r="1726" ht="22" customHeight="1" spans="1:7" x14ac:dyDescent="0.25">
      <c r="A1726" s="16" t="s">
        <v>36</v>
      </c>
      <c r="B1726" s="17" t="s">
        <v>32</v>
      </c>
      <c r="C1726" s="17" t="s">
        <v>467</v>
      </c>
      <c r="D1726" s="17" t="s">
        <v>23</v>
      </c>
      <c r="E1726" s="18">
        <v>40</v>
      </c>
      <c r="F1726" s="16" t="s">
        <v>27</v>
      </c>
      <c r="G1726" s="16" t="s">
        <v>23</v>
      </c>
    </row>
    <row r="1727" ht="24" customHeight="1" spans="1:7" x14ac:dyDescent="0.25">
      <c r="A1727" s="23" t="s">
        <v>38</v>
      </c>
      <c r="B1727" s="23" t="s">
        <v>39</v>
      </c>
      <c r="C1727" s="24" t="s">
        <v>40</v>
      </c>
      <c r="D1727" s="24" t="s">
        <v>41</v>
      </c>
      <c r="E1727" s="25">
        <f>SUM(E1720,E1722,E1724,E1726)</f>
        <v>115.4</v>
      </c>
      <c r="F1727" s="23" t="str">
        <f>ROUND(E1727/60, 1) &amp; " Saat"</f>
        <v>1.9 Saat</v>
      </c>
      <c r="G1727" s="23" t="str">
        <f>COUNTIF(G1720:G1726, "X") &amp; "/4"</f>
        <v>0/4</v>
      </c>
    </row>
    <row r="1728" ht="22" customHeight="1" spans="1:7" x14ac:dyDescent="0.25">
      <c r="A1728" s="15" t="s">
        <v>42</v>
      </c>
      <c r="B1728" s="15"/>
      <c r="C1728" s="15"/>
      <c r="D1728" s="15"/>
      <c r="E1728" s="15"/>
      <c r="F1728" s="15"/>
      <c r="G1728" s="15"/>
    </row>
    <row r="1729" ht="22" customHeight="1" spans="1:7" x14ac:dyDescent="0.25">
      <c r="A1729" s="16" t="s">
        <v>18</v>
      </c>
      <c r="B1729" s="17" t="s">
        <v>43</v>
      </c>
      <c r="C1729" s="17" t="s">
        <v>467</v>
      </c>
      <c r="D1729" s="17" t="s">
        <v>23</v>
      </c>
      <c r="E1729" s="18">
        <v>40</v>
      </c>
      <c r="F1729" s="16" t="s">
        <v>27</v>
      </c>
      <c r="G1729" s="16" t="s">
        <v>23</v>
      </c>
    </row>
    <row r="1730" ht="20" customHeight="1" spans="1:7" x14ac:dyDescent="0.25">
      <c r="A1730" s="20" t="s">
        <v>24</v>
      </c>
      <c r="B1730" s="21" t="s">
        <v>25</v>
      </c>
      <c r="C1730" s="21" t="s">
        <v>26</v>
      </c>
      <c r="D1730" s="21" t="s">
        <v>27</v>
      </c>
      <c r="E1730" s="22" t="s">
        <v>23</v>
      </c>
      <c r="F1730" s="20" t="s">
        <v>27</v>
      </c>
      <c r="G1730" s="20" t="s">
        <v>27</v>
      </c>
    </row>
    <row r="1731" ht="22" customHeight="1" spans="1:7" x14ac:dyDescent="0.25">
      <c r="A1731" s="16" t="s">
        <v>28</v>
      </c>
      <c r="B1731" s="17" t="s">
        <v>43</v>
      </c>
      <c r="C1731" s="17" t="s">
        <v>467</v>
      </c>
      <c r="D1731" s="17" t="s">
        <v>23</v>
      </c>
      <c r="E1731" s="18">
        <v>40</v>
      </c>
      <c r="F1731" s="16" t="s">
        <v>27</v>
      </c>
      <c r="G1731" s="16" t="s">
        <v>23</v>
      </c>
    </row>
    <row r="1732" ht="20" customHeight="1" spans="1:7" x14ac:dyDescent="0.25">
      <c r="A1732" s="20" t="s">
        <v>30</v>
      </c>
      <c r="B1732" s="21" t="s">
        <v>25</v>
      </c>
      <c r="C1732" s="21" t="s">
        <v>26</v>
      </c>
      <c r="D1732" s="21" t="s">
        <v>27</v>
      </c>
      <c r="E1732" s="22" t="s">
        <v>23</v>
      </c>
      <c r="F1732" s="20" t="s">
        <v>27</v>
      </c>
      <c r="G1732" s="20" t="s">
        <v>27</v>
      </c>
    </row>
    <row r="1733" ht="22" customHeight="1" spans="1:7" x14ac:dyDescent="0.25">
      <c r="A1733" s="16" t="s">
        <v>31</v>
      </c>
      <c r="B1733" s="17" t="s">
        <v>47</v>
      </c>
      <c r="C1733" s="17" t="s">
        <v>741</v>
      </c>
      <c r="D1733" s="17" t="s">
        <v>49</v>
      </c>
      <c r="E1733" s="18">
        <v>58.6</v>
      </c>
      <c r="F1733" s="19" t="s">
        <v>22</v>
      </c>
      <c r="G1733" s="16" t="s">
        <v>23</v>
      </c>
    </row>
    <row r="1734" ht="20" customHeight="1" spans="1:7" x14ac:dyDescent="0.25">
      <c r="A1734" s="20" t="s">
        <v>35</v>
      </c>
      <c r="B1734" s="21" t="s">
        <v>25</v>
      </c>
      <c r="C1734" s="21" t="s">
        <v>26</v>
      </c>
      <c r="D1734" s="21" t="s">
        <v>27</v>
      </c>
      <c r="E1734" s="22" t="s">
        <v>23</v>
      </c>
      <c r="F1734" s="20" t="s">
        <v>27</v>
      </c>
      <c r="G1734" s="20" t="s">
        <v>27</v>
      </c>
    </row>
    <row r="1735" ht="22" customHeight="1" spans="1:7" x14ac:dyDescent="0.25">
      <c r="A1735" s="16" t="s">
        <v>36</v>
      </c>
      <c r="B1735" s="17" t="s">
        <v>47</v>
      </c>
      <c r="C1735" s="17" t="s">
        <v>742</v>
      </c>
      <c r="D1735" s="17" t="s">
        <v>49</v>
      </c>
      <c r="E1735" s="18">
        <v>49.5</v>
      </c>
      <c r="F1735" s="19" t="s">
        <v>22</v>
      </c>
      <c r="G1735" s="16" t="s">
        <v>23</v>
      </c>
    </row>
    <row r="1736" ht="24" customHeight="1" spans="1:7" x14ac:dyDescent="0.25">
      <c r="A1736" s="23" t="s">
        <v>38</v>
      </c>
      <c r="B1736" s="23" t="s">
        <v>39</v>
      </c>
      <c r="C1736" s="24" t="s">
        <v>40</v>
      </c>
      <c r="D1736" s="24" t="s">
        <v>41</v>
      </c>
      <c r="E1736" s="25">
        <f>SUM(E1729,E1731,E1733,E1735)</f>
        <v>188.1</v>
      </c>
      <c r="F1736" s="23" t="str">
        <f>ROUND(E1736/60, 1) &amp; " Saat"</f>
        <v>3.1 Saat</v>
      </c>
      <c r="G1736" s="23" t="str">
        <f>COUNTIF(G1729:G1735, "X") &amp; "/4"</f>
        <v>0/4</v>
      </c>
    </row>
    <row r="1737" ht="22" customHeight="1" spans="1:7" x14ac:dyDescent="0.25">
      <c r="A1737" s="15" t="s">
        <v>51</v>
      </c>
      <c r="B1737" s="15"/>
      <c r="C1737" s="15"/>
      <c r="D1737" s="15"/>
      <c r="E1737" s="15"/>
      <c r="F1737" s="15"/>
      <c r="G1737" s="15"/>
    </row>
    <row r="1738" ht="22" customHeight="1" spans="1:7" x14ac:dyDescent="0.25">
      <c r="A1738" s="16" t="s">
        <v>18</v>
      </c>
      <c r="B1738" s="17" t="s">
        <v>52</v>
      </c>
      <c r="C1738" s="17" t="s">
        <v>467</v>
      </c>
      <c r="D1738" s="17" t="s">
        <v>23</v>
      </c>
      <c r="E1738" s="18">
        <v>40</v>
      </c>
      <c r="F1738" s="16" t="s">
        <v>27</v>
      </c>
      <c r="G1738" s="16" t="s">
        <v>23</v>
      </c>
    </row>
    <row r="1739" ht="20" customHeight="1" spans="1:7" x14ac:dyDescent="0.25">
      <c r="A1739" s="20" t="s">
        <v>24</v>
      </c>
      <c r="B1739" s="21" t="s">
        <v>25</v>
      </c>
      <c r="C1739" s="21" t="s">
        <v>26</v>
      </c>
      <c r="D1739" s="21" t="s">
        <v>27</v>
      </c>
      <c r="E1739" s="22" t="s">
        <v>23</v>
      </c>
      <c r="F1739" s="20" t="s">
        <v>27</v>
      </c>
      <c r="G1739" s="20" t="s">
        <v>27</v>
      </c>
    </row>
    <row r="1740" ht="22" customHeight="1" spans="1:7" x14ac:dyDescent="0.25">
      <c r="A1740" s="16" t="s">
        <v>28</v>
      </c>
      <c r="B1740" s="17" t="s">
        <v>52</v>
      </c>
      <c r="C1740" s="17" t="s">
        <v>467</v>
      </c>
      <c r="D1740" s="17" t="s">
        <v>23</v>
      </c>
      <c r="E1740" s="18">
        <v>40</v>
      </c>
      <c r="F1740" s="16" t="s">
        <v>27</v>
      </c>
      <c r="G1740" s="16" t="s">
        <v>23</v>
      </c>
    </row>
    <row r="1741" ht="20" customHeight="1" spans="1:7" x14ac:dyDescent="0.25">
      <c r="A1741" s="20" t="s">
        <v>30</v>
      </c>
      <c r="B1741" s="21" t="s">
        <v>25</v>
      </c>
      <c r="C1741" s="21" t="s">
        <v>26</v>
      </c>
      <c r="D1741" s="21" t="s">
        <v>27</v>
      </c>
      <c r="E1741" s="22" t="s">
        <v>23</v>
      </c>
      <c r="F1741" s="20" t="s">
        <v>27</v>
      </c>
      <c r="G1741" s="20" t="s">
        <v>27</v>
      </c>
    </row>
    <row r="1742" ht="22" customHeight="1" spans="1:7" x14ac:dyDescent="0.25">
      <c r="A1742" s="16" t="s">
        <v>31</v>
      </c>
      <c r="B1742" s="17" t="s">
        <v>56</v>
      </c>
      <c r="C1742" s="17" t="s">
        <v>467</v>
      </c>
      <c r="D1742" s="17" t="s">
        <v>23</v>
      </c>
      <c r="E1742" s="18">
        <v>40</v>
      </c>
      <c r="F1742" s="16" t="s">
        <v>27</v>
      </c>
      <c r="G1742" s="16" t="s">
        <v>23</v>
      </c>
    </row>
    <row r="1743" ht="20" customHeight="1" spans="1:7" x14ac:dyDescent="0.25">
      <c r="A1743" s="20" t="s">
        <v>35</v>
      </c>
      <c r="B1743" s="21" t="s">
        <v>25</v>
      </c>
      <c r="C1743" s="21" t="s">
        <v>26</v>
      </c>
      <c r="D1743" s="21" t="s">
        <v>27</v>
      </c>
      <c r="E1743" s="22" t="s">
        <v>23</v>
      </c>
      <c r="F1743" s="20" t="s">
        <v>27</v>
      </c>
      <c r="G1743" s="20" t="s">
        <v>27</v>
      </c>
    </row>
    <row r="1744" ht="22" customHeight="1" spans="1:7" x14ac:dyDescent="0.25">
      <c r="A1744" s="16" t="s">
        <v>36</v>
      </c>
      <c r="B1744" s="17" t="s">
        <v>56</v>
      </c>
      <c r="C1744" s="17" t="s">
        <v>467</v>
      </c>
      <c r="D1744" s="17" t="s">
        <v>23</v>
      </c>
      <c r="E1744" s="18">
        <v>40</v>
      </c>
      <c r="F1744" s="16" t="s">
        <v>27</v>
      </c>
      <c r="G1744" s="16" t="s">
        <v>23</v>
      </c>
    </row>
    <row r="1745" ht="24" customHeight="1" spans="1:7" x14ac:dyDescent="0.25">
      <c r="A1745" s="23" t="s">
        <v>38</v>
      </c>
      <c r="B1745" s="23" t="s">
        <v>39</v>
      </c>
      <c r="C1745" s="24" t="s">
        <v>40</v>
      </c>
      <c r="D1745" s="24" t="s">
        <v>41</v>
      </c>
      <c r="E1745" s="25">
        <f>SUM(E1738,E1740,E1742,E1744)</f>
        <v>160</v>
      </c>
      <c r="F1745" s="23" t="str">
        <f>ROUND(E1745/60, 1) &amp; " Saat"</f>
        <v>2.7 Saat</v>
      </c>
      <c r="G1745" s="23" t="str">
        <f>COUNTIF(G1738:G1744, "X") &amp; "/4"</f>
        <v>0/4</v>
      </c>
    </row>
    <row r="1746" ht="22" customHeight="1" spans="1:7" x14ac:dyDescent="0.25">
      <c r="A1746" s="15" t="s">
        <v>60</v>
      </c>
      <c r="B1746" s="15"/>
      <c r="C1746" s="15"/>
      <c r="D1746" s="15"/>
      <c r="E1746" s="15"/>
      <c r="F1746" s="15"/>
      <c r="G1746" s="15"/>
    </row>
    <row r="1747" ht="22" customHeight="1" spans="1:7" x14ac:dyDescent="0.25">
      <c r="A1747" s="16" t="s">
        <v>18</v>
      </c>
      <c r="B1747" s="17" t="s">
        <v>43</v>
      </c>
      <c r="C1747" s="17" t="s">
        <v>467</v>
      </c>
      <c r="D1747" s="17" t="s">
        <v>23</v>
      </c>
      <c r="E1747" s="18">
        <v>40</v>
      </c>
      <c r="F1747" s="16" t="s">
        <v>27</v>
      </c>
      <c r="G1747" s="16" t="s">
        <v>23</v>
      </c>
    </row>
    <row r="1748" ht="20" customHeight="1" spans="1:7" x14ac:dyDescent="0.25">
      <c r="A1748" s="20" t="s">
        <v>24</v>
      </c>
      <c r="B1748" s="21" t="s">
        <v>25</v>
      </c>
      <c r="C1748" s="21" t="s">
        <v>26</v>
      </c>
      <c r="D1748" s="21" t="s">
        <v>27</v>
      </c>
      <c r="E1748" s="22" t="s">
        <v>23</v>
      </c>
      <c r="F1748" s="20" t="s">
        <v>27</v>
      </c>
      <c r="G1748" s="20" t="s">
        <v>27</v>
      </c>
    </row>
    <row r="1749" ht="22" customHeight="1" spans="1:7" x14ac:dyDescent="0.25">
      <c r="A1749" s="16" t="s">
        <v>28</v>
      </c>
      <c r="B1749" s="17" t="s">
        <v>43</v>
      </c>
      <c r="C1749" s="17" t="s">
        <v>467</v>
      </c>
      <c r="D1749" s="17" t="s">
        <v>23</v>
      </c>
      <c r="E1749" s="18">
        <v>40</v>
      </c>
      <c r="F1749" s="16" t="s">
        <v>27</v>
      </c>
      <c r="G1749" s="16" t="s">
        <v>23</v>
      </c>
    </row>
    <row r="1750" ht="20" customHeight="1" spans="1:7" x14ac:dyDescent="0.25">
      <c r="A1750" s="20" t="s">
        <v>30</v>
      </c>
      <c r="B1750" s="21" t="s">
        <v>25</v>
      </c>
      <c r="C1750" s="21" t="s">
        <v>26</v>
      </c>
      <c r="D1750" s="21" t="s">
        <v>27</v>
      </c>
      <c r="E1750" s="22" t="s">
        <v>23</v>
      </c>
      <c r="F1750" s="20" t="s">
        <v>27</v>
      </c>
      <c r="G1750" s="20" t="s">
        <v>27</v>
      </c>
    </row>
    <row r="1751" ht="22" customHeight="1" spans="1:7" x14ac:dyDescent="0.25">
      <c r="A1751" s="16" t="s">
        <v>31</v>
      </c>
      <c r="B1751" s="17" t="s">
        <v>63</v>
      </c>
      <c r="C1751" s="17" t="s">
        <v>743</v>
      </c>
      <c r="D1751" s="17" t="s">
        <v>65</v>
      </c>
      <c r="E1751" s="18">
        <v>29.1</v>
      </c>
      <c r="F1751" s="19" t="s">
        <v>22</v>
      </c>
      <c r="G1751" s="16" t="s">
        <v>23</v>
      </c>
    </row>
    <row r="1752" ht="20" customHeight="1" spans="1:7" x14ac:dyDescent="0.25">
      <c r="A1752" s="20" t="s">
        <v>35</v>
      </c>
      <c r="B1752" s="21" t="s">
        <v>25</v>
      </c>
      <c r="C1752" s="21" t="s">
        <v>26</v>
      </c>
      <c r="D1752" s="21" t="s">
        <v>27</v>
      </c>
      <c r="E1752" s="22" t="s">
        <v>23</v>
      </c>
      <c r="F1752" s="20" t="s">
        <v>27</v>
      </c>
      <c r="G1752" s="20" t="s">
        <v>27</v>
      </c>
    </row>
    <row r="1753" ht="22" customHeight="1" spans="1:7" x14ac:dyDescent="0.25">
      <c r="A1753" s="16" t="s">
        <v>36</v>
      </c>
      <c r="B1753" s="17" t="s">
        <v>63</v>
      </c>
      <c r="C1753" s="17" t="s">
        <v>744</v>
      </c>
      <c r="D1753" s="17" t="s">
        <v>65</v>
      </c>
      <c r="E1753" s="18">
        <v>13.3</v>
      </c>
      <c r="F1753" s="19" t="s">
        <v>22</v>
      </c>
      <c r="G1753" s="16" t="s">
        <v>23</v>
      </c>
    </row>
    <row r="1754" ht="24" customHeight="1" spans="1:7" x14ac:dyDescent="0.25">
      <c r="A1754" s="23" t="s">
        <v>38</v>
      </c>
      <c r="B1754" s="23" t="s">
        <v>39</v>
      </c>
      <c r="C1754" s="24" t="s">
        <v>40</v>
      </c>
      <c r="D1754" s="24" t="s">
        <v>41</v>
      </c>
      <c r="E1754" s="25">
        <f>SUM(E1747,E1749,E1751,E1753)</f>
        <v>122.4</v>
      </c>
      <c r="F1754" s="23" t="str">
        <f>ROUND(E1754/60, 1) &amp; " Saat"</f>
        <v>2.0 Saat</v>
      </c>
      <c r="G1754" s="23" t="str">
        <f>COUNTIF(G1747:G1753, "X") &amp; "/4"</f>
        <v>0/4</v>
      </c>
    </row>
    <row r="1755" ht="22" customHeight="1" spans="1:7" x14ac:dyDescent="0.25">
      <c r="A1755" s="15" t="s">
        <v>67</v>
      </c>
      <c r="B1755" s="15"/>
      <c r="C1755" s="15"/>
      <c r="D1755" s="15"/>
      <c r="E1755" s="15"/>
      <c r="F1755" s="15"/>
      <c r="G1755" s="15"/>
    </row>
    <row r="1756" ht="22" customHeight="1" spans="1:7" x14ac:dyDescent="0.25">
      <c r="A1756" s="16" t="s">
        <v>18</v>
      </c>
      <c r="B1756" s="17" t="s">
        <v>68</v>
      </c>
      <c r="C1756" s="17" t="s">
        <v>745</v>
      </c>
      <c r="D1756" s="17" t="s">
        <v>70</v>
      </c>
      <c r="E1756" s="18">
        <v>29.8</v>
      </c>
      <c r="F1756" s="19" t="s">
        <v>22</v>
      </c>
      <c r="G1756" s="16" t="s">
        <v>23</v>
      </c>
    </row>
    <row r="1757" ht="20" customHeight="1" spans="1:7" x14ac:dyDescent="0.25">
      <c r="A1757" s="20" t="s">
        <v>24</v>
      </c>
      <c r="B1757" s="21" t="s">
        <v>25</v>
      </c>
      <c r="C1757" s="21" t="s">
        <v>26</v>
      </c>
      <c r="D1757" s="21" t="s">
        <v>27</v>
      </c>
      <c r="E1757" s="22" t="s">
        <v>23</v>
      </c>
      <c r="F1757" s="20" t="s">
        <v>27</v>
      </c>
      <c r="G1757" s="20" t="s">
        <v>27</v>
      </c>
    </row>
    <row r="1758" ht="22" customHeight="1" spans="1:7" x14ac:dyDescent="0.25">
      <c r="A1758" s="16" t="s">
        <v>28</v>
      </c>
      <c r="B1758" s="17" t="s">
        <v>68</v>
      </c>
      <c r="C1758" s="17" t="s">
        <v>746</v>
      </c>
      <c r="D1758" s="17" t="s">
        <v>70</v>
      </c>
      <c r="E1758" s="18">
        <v>29.9</v>
      </c>
      <c r="F1758" s="19" t="s">
        <v>22</v>
      </c>
      <c r="G1758" s="16" t="s">
        <v>23</v>
      </c>
    </row>
    <row r="1759" ht="20" customHeight="1" spans="1:7" x14ac:dyDescent="0.25">
      <c r="A1759" s="20" t="s">
        <v>30</v>
      </c>
      <c r="B1759" s="21" t="s">
        <v>25</v>
      </c>
      <c r="C1759" s="21" t="s">
        <v>26</v>
      </c>
      <c r="D1759" s="21" t="s">
        <v>27</v>
      </c>
      <c r="E1759" s="22" t="s">
        <v>23</v>
      </c>
      <c r="F1759" s="20" t="s">
        <v>27</v>
      </c>
      <c r="G1759" s="20" t="s">
        <v>27</v>
      </c>
    </row>
    <row r="1760" ht="22" customHeight="1" spans="1:7" x14ac:dyDescent="0.25">
      <c r="A1760" s="16" t="s">
        <v>31</v>
      </c>
      <c r="B1760" s="17" t="s">
        <v>449</v>
      </c>
      <c r="C1760" s="17" t="s">
        <v>747</v>
      </c>
      <c r="D1760" s="17" t="s">
        <v>34</v>
      </c>
      <c r="E1760" s="18">
        <v>28.7</v>
      </c>
      <c r="F1760" s="19" t="s">
        <v>22</v>
      </c>
      <c r="G1760" s="16" t="s">
        <v>23</v>
      </c>
    </row>
    <row r="1761" ht="20" customHeight="1" spans="1:7" x14ac:dyDescent="0.25">
      <c r="A1761" s="20" t="s">
        <v>35</v>
      </c>
      <c r="B1761" s="21" t="s">
        <v>25</v>
      </c>
      <c r="C1761" s="21" t="s">
        <v>26</v>
      </c>
      <c r="D1761" s="21" t="s">
        <v>27</v>
      </c>
      <c r="E1761" s="22" t="s">
        <v>23</v>
      </c>
      <c r="F1761" s="20" t="s">
        <v>27</v>
      </c>
      <c r="G1761" s="20" t="s">
        <v>27</v>
      </c>
    </row>
    <row r="1762" ht="22" customHeight="1" spans="1:7" x14ac:dyDescent="0.25">
      <c r="A1762" s="16" t="s">
        <v>36</v>
      </c>
      <c r="B1762" s="17" t="s">
        <v>449</v>
      </c>
      <c r="C1762" s="17" t="s">
        <v>748</v>
      </c>
      <c r="D1762" s="17" t="s">
        <v>34</v>
      </c>
      <c r="E1762" s="18">
        <v>34.1</v>
      </c>
      <c r="F1762" s="19" t="s">
        <v>22</v>
      </c>
      <c r="G1762" s="16" t="s">
        <v>23</v>
      </c>
    </row>
    <row r="1763" ht="24" customHeight="1" spans="1:7" x14ac:dyDescent="0.25">
      <c r="A1763" s="23" t="s">
        <v>38</v>
      </c>
      <c r="B1763" s="23" t="s">
        <v>39</v>
      </c>
      <c r="C1763" s="24" t="s">
        <v>40</v>
      </c>
      <c r="D1763" s="24" t="s">
        <v>41</v>
      </c>
      <c r="E1763" s="25">
        <f>SUM(E1756,E1758,E1760,E1762)</f>
        <v>122.5</v>
      </c>
      <c r="F1763" s="23" t="str">
        <f>ROUND(E1763/60, 1) &amp; " Saat"</f>
        <v>2.0 Saat</v>
      </c>
      <c r="G1763" s="23" t="str">
        <f>COUNTIF(G1756:G1762, "X") &amp; "/4"</f>
        <v>0/4</v>
      </c>
    </row>
    <row r="1764" ht="22" customHeight="1" spans="1:7" x14ac:dyDescent="0.25">
      <c r="A1764" s="15" t="s">
        <v>74</v>
      </c>
      <c r="B1764" s="15"/>
      <c r="C1764" s="15"/>
      <c r="D1764" s="15"/>
      <c r="E1764" s="15"/>
      <c r="F1764" s="15"/>
      <c r="G1764" s="15"/>
    </row>
    <row r="1765" ht="22" customHeight="1" spans="1:7" x14ac:dyDescent="0.25">
      <c r="A1765" s="16" t="s">
        <v>18</v>
      </c>
      <c r="B1765" s="17" t="s">
        <v>47</v>
      </c>
      <c r="C1765" s="17" t="s">
        <v>749</v>
      </c>
      <c r="D1765" s="17" t="s">
        <v>49</v>
      </c>
      <c r="E1765" s="18">
        <v>31.4</v>
      </c>
      <c r="F1765" s="19" t="s">
        <v>22</v>
      </c>
      <c r="G1765" s="16" t="s">
        <v>23</v>
      </c>
    </row>
    <row r="1766" ht="20" customHeight="1" spans="1:7" x14ac:dyDescent="0.25">
      <c r="A1766" s="20" t="s">
        <v>24</v>
      </c>
      <c r="B1766" s="21" t="s">
        <v>25</v>
      </c>
      <c r="C1766" s="21" t="s">
        <v>26</v>
      </c>
      <c r="D1766" s="21" t="s">
        <v>27</v>
      </c>
      <c r="E1766" s="22" t="s">
        <v>23</v>
      </c>
      <c r="F1766" s="20" t="s">
        <v>27</v>
      </c>
      <c r="G1766" s="20" t="s">
        <v>27</v>
      </c>
    </row>
    <row r="1767" ht="22" customHeight="1" spans="1:7" x14ac:dyDescent="0.25">
      <c r="A1767" s="16" t="s">
        <v>28</v>
      </c>
      <c r="B1767" s="17" t="s">
        <v>47</v>
      </c>
      <c r="C1767" s="17" t="s">
        <v>750</v>
      </c>
      <c r="D1767" s="17" t="s">
        <v>49</v>
      </c>
      <c r="E1767" s="18">
        <v>28.5</v>
      </c>
      <c r="F1767" s="19" t="s">
        <v>22</v>
      </c>
      <c r="G1767" s="16" t="s">
        <v>23</v>
      </c>
    </row>
    <row r="1768" ht="20" customHeight="1" spans="1:7" x14ac:dyDescent="0.25">
      <c r="A1768" s="20" t="s">
        <v>30</v>
      </c>
      <c r="B1768" s="21" t="s">
        <v>25</v>
      </c>
      <c r="C1768" s="21" t="s">
        <v>26</v>
      </c>
      <c r="D1768" s="21" t="s">
        <v>27</v>
      </c>
      <c r="E1768" s="22" t="s">
        <v>23</v>
      </c>
      <c r="F1768" s="20" t="s">
        <v>27</v>
      </c>
      <c r="G1768" s="20" t="s">
        <v>27</v>
      </c>
    </row>
    <row r="1769" ht="22" customHeight="1" spans="1:7" x14ac:dyDescent="0.25">
      <c r="A1769" s="16" t="s">
        <v>31</v>
      </c>
      <c r="B1769" s="17" t="s">
        <v>568</v>
      </c>
      <c r="C1769" s="17" t="s">
        <v>467</v>
      </c>
      <c r="D1769" s="17" t="s">
        <v>23</v>
      </c>
      <c r="E1769" s="18">
        <v>40</v>
      </c>
      <c r="F1769" s="16" t="s">
        <v>27</v>
      </c>
      <c r="G1769" s="16" t="s">
        <v>23</v>
      </c>
    </row>
    <row r="1770" ht="20" customHeight="1" spans="1:7" x14ac:dyDescent="0.25">
      <c r="A1770" s="20" t="s">
        <v>35</v>
      </c>
      <c r="B1770" s="21" t="s">
        <v>25</v>
      </c>
      <c r="C1770" s="21" t="s">
        <v>26</v>
      </c>
      <c r="D1770" s="21" t="s">
        <v>27</v>
      </c>
      <c r="E1770" s="22" t="s">
        <v>23</v>
      </c>
      <c r="F1770" s="20" t="s">
        <v>27</v>
      </c>
      <c r="G1770" s="20" t="s">
        <v>27</v>
      </c>
    </row>
    <row r="1771" ht="22" customHeight="1" spans="1:7" x14ac:dyDescent="0.25">
      <c r="A1771" s="16" t="s">
        <v>36</v>
      </c>
      <c r="B1771" s="17" t="s">
        <v>568</v>
      </c>
      <c r="C1771" s="17" t="s">
        <v>467</v>
      </c>
      <c r="D1771" s="17" t="s">
        <v>23</v>
      </c>
      <c r="E1771" s="18">
        <v>40</v>
      </c>
      <c r="F1771" s="16" t="s">
        <v>27</v>
      </c>
      <c r="G1771" s="16" t="s">
        <v>23</v>
      </c>
    </row>
    <row r="1772" ht="24" customHeight="1" spans="1:7" x14ac:dyDescent="0.25">
      <c r="A1772" s="23" t="s">
        <v>38</v>
      </c>
      <c r="B1772" s="23" t="s">
        <v>39</v>
      </c>
      <c r="C1772" s="24" t="s">
        <v>40</v>
      </c>
      <c r="D1772" s="24" t="s">
        <v>41</v>
      </c>
      <c r="E1772" s="25">
        <f>SUM(E1765,E1767,E1769,E1771)</f>
        <v>139.9</v>
      </c>
      <c r="F1772" s="23" t="str">
        <f>ROUND(E1772/60, 1) &amp; " Saat"</f>
        <v>2.3 Saat</v>
      </c>
      <c r="G1772" s="23" t="str">
        <f>COUNTIF(G1765:G1771, "X") &amp; "/4"</f>
        <v>0/4</v>
      </c>
    </row>
    <row r="1773" ht="28" customHeight="1" spans="1:7" x14ac:dyDescent="0.25">
      <c r="A1773" s="26" t="s">
        <v>79</v>
      </c>
      <c r="B1773" s="26"/>
      <c r="C1773" s="26"/>
      <c r="D1773" s="26"/>
      <c r="E1773" s="26"/>
      <c r="F1773" s="26"/>
      <c r="G1773" s="26"/>
    </row>
    <row r="1774" ht="8" customHeight="1" x14ac:dyDescent="0.25"/>
    <row r="1775" ht="25" customHeight="1" spans="1:7" x14ac:dyDescent="0.25">
      <c r="A1775" s="14" t="s">
        <v>751</v>
      </c>
      <c r="B1775" s="14"/>
      <c r="C1775" s="14"/>
      <c r="D1775" s="14"/>
      <c r="E1775" s="14"/>
      <c r="F1775" s="14"/>
      <c r="G1775" s="14"/>
    </row>
    <row r="1776" ht="22" customHeight="1" spans="1:7" x14ac:dyDescent="0.25">
      <c r="A1776" s="15" t="s">
        <v>17</v>
      </c>
      <c r="B1776" s="15"/>
      <c r="C1776" s="15"/>
      <c r="D1776" s="15"/>
      <c r="E1776" s="15"/>
      <c r="F1776" s="15"/>
      <c r="G1776" s="15"/>
    </row>
    <row r="1777" ht="22" customHeight="1" spans="1:7" x14ac:dyDescent="0.25">
      <c r="A1777" s="16" t="s">
        <v>18</v>
      </c>
      <c r="B1777" s="17" t="s">
        <v>19</v>
      </c>
      <c r="C1777" s="17" t="s">
        <v>752</v>
      </c>
      <c r="D1777" s="17" t="s">
        <v>21</v>
      </c>
      <c r="E1777" s="18">
        <v>12.7</v>
      </c>
      <c r="F1777" s="19" t="s">
        <v>22</v>
      </c>
      <c r="G1777" s="16" t="s">
        <v>23</v>
      </c>
    </row>
    <row r="1778" ht="20" customHeight="1" spans="1:7" x14ac:dyDescent="0.25">
      <c r="A1778" s="20" t="s">
        <v>24</v>
      </c>
      <c r="B1778" s="21" t="s">
        <v>25</v>
      </c>
      <c r="C1778" s="21" t="s">
        <v>26</v>
      </c>
      <c r="D1778" s="21" t="s">
        <v>27</v>
      </c>
      <c r="E1778" s="22" t="s">
        <v>23</v>
      </c>
      <c r="F1778" s="20" t="s">
        <v>27</v>
      </c>
      <c r="G1778" s="20" t="s">
        <v>27</v>
      </c>
    </row>
    <row r="1779" ht="22" customHeight="1" spans="1:7" x14ac:dyDescent="0.25">
      <c r="A1779" s="16" t="s">
        <v>28</v>
      </c>
      <c r="B1779" s="17" t="s">
        <v>19</v>
      </c>
      <c r="C1779" s="17" t="s">
        <v>753</v>
      </c>
      <c r="D1779" s="17" t="s">
        <v>21</v>
      </c>
      <c r="E1779" s="18">
        <v>16.6</v>
      </c>
      <c r="F1779" s="19" t="s">
        <v>22</v>
      </c>
      <c r="G1779" s="16" t="s">
        <v>23</v>
      </c>
    </row>
    <row r="1780" ht="20" customHeight="1" spans="1:7" x14ac:dyDescent="0.25">
      <c r="A1780" s="20" t="s">
        <v>30</v>
      </c>
      <c r="B1780" s="21" t="s">
        <v>25</v>
      </c>
      <c r="C1780" s="21" t="s">
        <v>26</v>
      </c>
      <c r="D1780" s="21" t="s">
        <v>27</v>
      </c>
      <c r="E1780" s="22" t="s">
        <v>23</v>
      </c>
      <c r="F1780" s="20" t="s">
        <v>27</v>
      </c>
      <c r="G1780" s="20" t="s">
        <v>27</v>
      </c>
    </row>
    <row r="1781" ht="22" customHeight="1" spans="1:7" x14ac:dyDescent="0.25">
      <c r="A1781" s="16" t="s">
        <v>31</v>
      </c>
      <c r="B1781" s="17" t="s">
        <v>32</v>
      </c>
      <c r="C1781" s="17" t="s">
        <v>467</v>
      </c>
      <c r="D1781" s="17" t="s">
        <v>23</v>
      </c>
      <c r="E1781" s="18">
        <v>40</v>
      </c>
      <c r="F1781" s="16" t="s">
        <v>27</v>
      </c>
      <c r="G1781" s="16" t="s">
        <v>23</v>
      </c>
    </row>
    <row r="1782" ht="20" customHeight="1" spans="1:7" x14ac:dyDescent="0.25">
      <c r="A1782" s="20" t="s">
        <v>35</v>
      </c>
      <c r="B1782" s="21" t="s">
        <v>25</v>
      </c>
      <c r="C1782" s="21" t="s">
        <v>26</v>
      </c>
      <c r="D1782" s="21" t="s">
        <v>27</v>
      </c>
      <c r="E1782" s="22" t="s">
        <v>23</v>
      </c>
      <c r="F1782" s="20" t="s">
        <v>27</v>
      </c>
      <c r="G1782" s="20" t="s">
        <v>27</v>
      </c>
    </row>
    <row r="1783" ht="22" customHeight="1" spans="1:7" x14ac:dyDescent="0.25">
      <c r="A1783" s="16" t="s">
        <v>36</v>
      </c>
      <c r="B1783" s="17" t="s">
        <v>32</v>
      </c>
      <c r="C1783" s="17" t="s">
        <v>467</v>
      </c>
      <c r="D1783" s="17" t="s">
        <v>23</v>
      </c>
      <c r="E1783" s="18">
        <v>40</v>
      </c>
      <c r="F1783" s="16" t="s">
        <v>27</v>
      </c>
      <c r="G1783" s="16" t="s">
        <v>23</v>
      </c>
    </row>
    <row r="1784" ht="24" customHeight="1" spans="1:7" x14ac:dyDescent="0.25">
      <c r="A1784" s="23" t="s">
        <v>38</v>
      </c>
      <c r="B1784" s="23" t="s">
        <v>39</v>
      </c>
      <c r="C1784" s="24" t="s">
        <v>40</v>
      </c>
      <c r="D1784" s="24" t="s">
        <v>41</v>
      </c>
      <c r="E1784" s="25">
        <f>SUM(E1777,E1779,E1781,E1783)</f>
        <v>109.3</v>
      </c>
      <c r="F1784" s="23" t="str">
        <f>ROUND(E1784/60, 1) &amp; " Saat"</f>
        <v>1.8 Saat</v>
      </c>
      <c r="G1784" s="23" t="str">
        <f>COUNTIF(G1777:G1783, "X") &amp; "/4"</f>
        <v>0/4</v>
      </c>
    </row>
    <row r="1785" ht="22" customHeight="1" spans="1:7" x14ac:dyDescent="0.25">
      <c r="A1785" s="15" t="s">
        <v>42</v>
      </c>
      <c r="B1785" s="15"/>
      <c r="C1785" s="15"/>
      <c r="D1785" s="15"/>
      <c r="E1785" s="15"/>
      <c r="F1785" s="15"/>
      <c r="G1785" s="15"/>
    </row>
    <row r="1786" ht="22" customHeight="1" spans="1:7" x14ac:dyDescent="0.25">
      <c r="A1786" s="16" t="s">
        <v>18</v>
      </c>
      <c r="B1786" s="17" t="s">
        <v>43</v>
      </c>
      <c r="C1786" s="17" t="s">
        <v>467</v>
      </c>
      <c r="D1786" s="17" t="s">
        <v>23</v>
      </c>
      <c r="E1786" s="18">
        <v>40</v>
      </c>
      <c r="F1786" s="16" t="s">
        <v>27</v>
      </c>
      <c r="G1786" s="16" t="s">
        <v>23</v>
      </c>
    </row>
    <row r="1787" ht="20" customHeight="1" spans="1:7" x14ac:dyDescent="0.25">
      <c r="A1787" s="20" t="s">
        <v>24</v>
      </c>
      <c r="B1787" s="21" t="s">
        <v>25</v>
      </c>
      <c r="C1787" s="21" t="s">
        <v>26</v>
      </c>
      <c r="D1787" s="21" t="s">
        <v>27</v>
      </c>
      <c r="E1787" s="22" t="s">
        <v>23</v>
      </c>
      <c r="F1787" s="20" t="s">
        <v>27</v>
      </c>
      <c r="G1787" s="20" t="s">
        <v>27</v>
      </c>
    </row>
    <row r="1788" ht="22" customHeight="1" spans="1:7" x14ac:dyDescent="0.25">
      <c r="A1788" s="16" t="s">
        <v>28</v>
      </c>
      <c r="B1788" s="17" t="s">
        <v>43</v>
      </c>
      <c r="C1788" s="17" t="s">
        <v>467</v>
      </c>
      <c r="D1788" s="17" t="s">
        <v>23</v>
      </c>
      <c r="E1788" s="18">
        <v>40</v>
      </c>
      <c r="F1788" s="16" t="s">
        <v>27</v>
      </c>
      <c r="G1788" s="16" t="s">
        <v>23</v>
      </c>
    </row>
    <row r="1789" ht="20" customHeight="1" spans="1:7" x14ac:dyDescent="0.25">
      <c r="A1789" s="20" t="s">
        <v>30</v>
      </c>
      <c r="B1789" s="21" t="s">
        <v>25</v>
      </c>
      <c r="C1789" s="21" t="s">
        <v>26</v>
      </c>
      <c r="D1789" s="21" t="s">
        <v>27</v>
      </c>
      <c r="E1789" s="22" t="s">
        <v>23</v>
      </c>
      <c r="F1789" s="20" t="s">
        <v>27</v>
      </c>
      <c r="G1789" s="20" t="s">
        <v>27</v>
      </c>
    </row>
    <row r="1790" ht="22" customHeight="1" spans="1:7" x14ac:dyDescent="0.25">
      <c r="A1790" s="16" t="s">
        <v>31</v>
      </c>
      <c r="B1790" s="17" t="s">
        <v>47</v>
      </c>
      <c r="C1790" s="17" t="s">
        <v>754</v>
      </c>
      <c r="D1790" s="17" t="s">
        <v>49</v>
      </c>
      <c r="E1790" s="18">
        <v>32.3</v>
      </c>
      <c r="F1790" s="19" t="s">
        <v>22</v>
      </c>
      <c r="G1790" s="16" t="s">
        <v>23</v>
      </c>
    </row>
    <row r="1791" ht="20" customHeight="1" spans="1:7" x14ac:dyDescent="0.25">
      <c r="A1791" s="20" t="s">
        <v>35</v>
      </c>
      <c r="B1791" s="21" t="s">
        <v>25</v>
      </c>
      <c r="C1791" s="21" t="s">
        <v>26</v>
      </c>
      <c r="D1791" s="21" t="s">
        <v>27</v>
      </c>
      <c r="E1791" s="22" t="s">
        <v>23</v>
      </c>
      <c r="F1791" s="20" t="s">
        <v>27</v>
      </c>
      <c r="G1791" s="20" t="s">
        <v>27</v>
      </c>
    </row>
    <row r="1792" ht="22" customHeight="1" spans="1:7" x14ac:dyDescent="0.25">
      <c r="A1792" s="16" t="s">
        <v>36</v>
      </c>
      <c r="B1792" s="17" t="s">
        <v>47</v>
      </c>
      <c r="C1792" s="17" t="s">
        <v>755</v>
      </c>
      <c r="D1792" s="17" t="s">
        <v>49</v>
      </c>
      <c r="E1792" s="18">
        <v>33.6</v>
      </c>
      <c r="F1792" s="19" t="s">
        <v>22</v>
      </c>
      <c r="G1792" s="16" t="s">
        <v>23</v>
      </c>
    </row>
    <row r="1793" ht="24" customHeight="1" spans="1:7" x14ac:dyDescent="0.25">
      <c r="A1793" s="23" t="s">
        <v>38</v>
      </c>
      <c r="B1793" s="23" t="s">
        <v>39</v>
      </c>
      <c r="C1793" s="24" t="s">
        <v>40</v>
      </c>
      <c r="D1793" s="24" t="s">
        <v>41</v>
      </c>
      <c r="E1793" s="25">
        <f>SUM(E1786,E1788,E1790,E1792)</f>
        <v>145.9</v>
      </c>
      <c r="F1793" s="23" t="str">
        <f>ROUND(E1793/60, 1) &amp; " Saat"</f>
        <v>2.4 Saat</v>
      </c>
      <c r="G1793" s="23" t="str">
        <f>COUNTIF(G1786:G1792, "X") &amp; "/4"</f>
        <v>0/4</v>
      </c>
    </row>
    <row r="1794" ht="22" customHeight="1" spans="1:7" x14ac:dyDescent="0.25">
      <c r="A1794" s="15" t="s">
        <v>51</v>
      </c>
      <c r="B1794" s="15"/>
      <c r="C1794" s="15"/>
      <c r="D1794" s="15"/>
      <c r="E1794" s="15"/>
      <c r="F1794" s="15"/>
      <c r="G1794" s="15"/>
    </row>
    <row r="1795" ht="22" customHeight="1" spans="1:7" x14ac:dyDescent="0.25">
      <c r="A1795" s="16" t="s">
        <v>18</v>
      </c>
      <c r="B1795" s="17" t="s">
        <v>52</v>
      </c>
      <c r="C1795" s="17" t="s">
        <v>467</v>
      </c>
      <c r="D1795" s="17" t="s">
        <v>23</v>
      </c>
      <c r="E1795" s="18">
        <v>40</v>
      </c>
      <c r="F1795" s="16" t="s">
        <v>27</v>
      </c>
      <c r="G1795" s="16" t="s">
        <v>23</v>
      </c>
    </row>
    <row r="1796" ht="20" customHeight="1" spans="1:7" x14ac:dyDescent="0.25">
      <c r="A1796" s="20" t="s">
        <v>24</v>
      </c>
      <c r="B1796" s="21" t="s">
        <v>25</v>
      </c>
      <c r="C1796" s="21" t="s">
        <v>26</v>
      </c>
      <c r="D1796" s="21" t="s">
        <v>27</v>
      </c>
      <c r="E1796" s="22" t="s">
        <v>23</v>
      </c>
      <c r="F1796" s="20" t="s">
        <v>27</v>
      </c>
      <c r="G1796" s="20" t="s">
        <v>27</v>
      </c>
    </row>
    <row r="1797" ht="22" customHeight="1" spans="1:7" x14ac:dyDescent="0.25">
      <c r="A1797" s="16" t="s">
        <v>28</v>
      </c>
      <c r="B1797" s="17" t="s">
        <v>52</v>
      </c>
      <c r="C1797" s="17" t="s">
        <v>467</v>
      </c>
      <c r="D1797" s="17" t="s">
        <v>23</v>
      </c>
      <c r="E1797" s="18">
        <v>40</v>
      </c>
      <c r="F1797" s="16" t="s">
        <v>27</v>
      </c>
      <c r="G1797" s="16" t="s">
        <v>23</v>
      </c>
    </row>
    <row r="1798" ht="20" customHeight="1" spans="1:7" x14ac:dyDescent="0.25">
      <c r="A1798" s="20" t="s">
        <v>30</v>
      </c>
      <c r="B1798" s="21" t="s">
        <v>25</v>
      </c>
      <c r="C1798" s="21" t="s">
        <v>26</v>
      </c>
      <c r="D1798" s="21" t="s">
        <v>27</v>
      </c>
      <c r="E1798" s="22" t="s">
        <v>23</v>
      </c>
      <c r="F1798" s="20" t="s">
        <v>27</v>
      </c>
      <c r="G1798" s="20" t="s">
        <v>27</v>
      </c>
    </row>
    <row r="1799" ht="22" customHeight="1" spans="1:7" x14ac:dyDescent="0.25">
      <c r="A1799" s="16" t="s">
        <v>31</v>
      </c>
      <c r="B1799" s="17" t="s">
        <v>56</v>
      </c>
      <c r="C1799" s="17" t="s">
        <v>467</v>
      </c>
      <c r="D1799" s="17" t="s">
        <v>23</v>
      </c>
      <c r="E1799" s="18">
        <v>40</v>
      </c>
      <c r="F1799" s="16" t="s">
        <v>27</v>
      </c>
      <c r="G1799" s="16" t="s">
        <v>23</v>
      </c>
    </row>
    <row r="1800" ht="20" customHeight="1" spans="1:7" x14ac:dyDescent="0.25">
      <c r="A1800" s="20" t="s">
        <v>35</v>
      </c>
      <c r="B1800" s="21" t="s">
        <v>25</v>
      </c>
      <c r="C1800" s="21" t="s">
        <v>26</v>
      </c>
      <c r="D1800" s="21" t="s">
        <v>27</v>
      </c>
      <c r="E1800" s="22" t="s">
        <v>23</v>
      </c>
      <c r="F1800" s="20" t="s">
        <v>27</v>
      </c>
      <c r="G1800" s="20" t="s">
        <v>27</v>
      </c>
    </row>
    <row r="1801" ht="22" customHeight="1" spans="1:7" x14ac:dyDescent="0.25">
      <c r="A1801" s="16" t="s">
        <v>36</v>
      </c>
      <c r="B1801" s="17" t="s">
        <v>56</v>
      </c>
      <c r="C1801" s="17" t="s">
        <v>467</v>
      </c>
      <c r="D1801" s="17" t="s">
        <v>23</v>
      </c>
      <c r="E1801" s="18">
        <v>40</v>
      </c>
      <c r="F1801" s="16" t="s">
        <v>27</v>
      </c>
      <c r="G1801" s="16" t="s">
        <v>23</v>
      </c>
    </row>
    <row r="1802" ht="24" customHeight="1" spans="1:7" x14ac:dyDescent="0.25">
      <c r="A1802" s="23" t="s">
        <v>38</v>
      </c>
      <c r="B1802" s="23" t="s">
        <v>39</v>
      </c>
      <c r="C1802" s="24" t="s">
        <v>40</v>
      </c>
      <c r="D1802" s="24" t="s">
        <v>41</v>
      </c>
      <c r="E1802" s="25">
        <f>SUM(E1795,E1797,E1799,E1801)</f>
        <v>160</v>
      </c>
      <c r="F1802" s="23" t="str">
        <f>ROUND(E1802/60, 1) &amp; " Saat"</f>
        <v>2.7 Saat</v>
      </c>
      <c r="G1802" s="23" t="str">
        <f>COUNTIF(G1795:G1801, "X") &amp; "/4"</f>
        <v>0/4</v>
      </c>
    </row>
    <row r="1803" ht="22" customHeight="1" spans="1:7" x14ac:dyDescent="0.25">
      <c r="A1803" s="15" t="s">
        <v>60</v>
      </c>
      <c r="B1803" s="15"/>
      <c r="C1803" s="15"/>
      <c r="D1803" s="15"/>
      <c r="E1803" s="15"/>
      <c r="F1803" s="15"/>
      <c r="G1803" s="15"/>
    </row>
    <row r="1804" ht="22" customHeight="1" spans="1:7" x14ac:dyDescent="0.25">
      <c r="A1804" s="16" t="s">
        <v>18</v>
      </c>
      <c r="B1804" s="17" t="s">
        <v>43</v>
      </c>
      <c r="C1804" s="17" t="s">
        <v>467</v>
      </c>
      <c r="D1804" s="17" t="s">
        <v>23</v>
      </c>
      <c r="E1804" s="18">
        <v>40</v>
      </c>
      <c r="F1804" s="16" t="s">
        <v>27</v>
      </c>
      <c r="G1804" s="16" t="s">
        <v>23</v>
      </c>
    </row>
    <row r="1805" ht="20" customHeight="1" spans="1:7" x14ac:dyDescent="0.25">
      <c r="A1805" s="20" t="s">
        <v>24</v>
      </c>
      <c r="B1805" s="21" t="s">
        <v>25</v>
      </c>
      <c r="C1805" s="21" t="s">
        <v>26</v>
      </c>
      <c r="D1805" s="21" t="s">
        <v>27</v>
      </c>
      <c r="E1805" s="22" t="s">
        <v>23</v>
      </c>
      <c r="F1805" s="20" t="s">
        <v>27</v>
      </c>
      <c r="G1805" s="20" t="s">
        <v>27</v>
      </c>
    </row>
    <row r="1806" ht="22" customHeight="1" spans="1:7" x14ac:dyDescent="0.25">
      <c r="A1806" s="16" t="s">
        <v>28</v>
      </c>
      <c r="B1806" s="17" t="s">
        <v>43</v>
      </c>
      <c r="C1806" s="17" t="s">
        <v>467</v>
      </c>
      <c r="D1806" s="17" t="s">
        <v>23</v>
      </c>
      <c r="E1806" s="18">
        <v>40</v>
      </c>
      <c r="F1806" s="16" t="s">
        <v>27</v>
      </c>
      <c r="G1806" s="16" t="s">
        <v>23</v>
      </c>
    </row>
    <row r="1807" ht="20" customHeight="1" spans="1:7" x14ac:dyDescent="0.25">
      <c r="A1807" s="20" t="s">
        <v>30</v>
      </c>
      <c r="B1807" s="21" t="s">
        <v>25</v>
      </c>
      <c r="C1807" s="21" t="s">
        <v>26</v>
      </c>
      <c r="D1807" s="21" t="s">
        <v>27</v>
      </c>
      <c r="E1807" s="22" t="s">
        <v>23</v>
      </c>
      <c r="F1807" s="20" t="s">
        <v>27</v>
      </c>
      <c r="G1807" s="20" t="s">
        <v>27</v>
      </c>
    </row>
    <row r="1808" ht="22" customHeight="1" spans="1:7" x14ac:dyDescent="0.25">
      <c r="A1808" s="16" t="s">
        <v>31</v>
      </c>
      <c r="B1808" s="17" t="s">
        <v>63</v>
      </c>
      <c r="C1808" s="17" t="s">
        <v>756</v>
      </c>
      <c r="D1808" s="17" t="s">
        <v>65</v>
      </c>
      <c r="E1808" s="18">
        <v>17.9</v>
      </c>
      <c r="F1808" s="19" t="s">
        <v>22</v>
      </c>
      <c r="G1808" s="16" t="s">
        <v>23</v>
      </c>
    </row>
    <row r="1809" ht="20" customHeight="1" spans="1:7" x14ac:dyDescent="0.25">
      <c r="A1809" s="20" t="s">
        <v>35</v>
      </c>
      <c r="B1809" s="21" t="s">
        <v>25</v>
      </c>
      <c r="C1809" s="21" t="s">
        <v>26</v>
      </c>
      <c r="D1809" s="21" t="s">
        <v>27</v>
      </c>
      <c r="E1809" s="22" t="s">
        <v>23</v>
      </c>
      <c r="F1809" s="20" t="s">
        <v>27</v>
      </c>
      <c r="G1809" s="20" t="s">
        <v>27</v>
      </c>
    </row>
    <row r="1810" ht="22" customHeight="1" spans="1:7" x14ac:dyDescent="0.25">
      <c r="A1810" s="16" t="s">
        <v>36</v>
      </c>
      <c r="B1810" s="17" t="s">
        <v>63</v>
      </c>
      <c r="C1810" s="17" t="s">
        <v>757</v>
      </c>
      <c r="D1810" s="17" t="s">
        <v>65</v>
      </c>
      <c r="E1810" s="18">
        <v>24.2</v>
      </c>
      <c r="F1810" s="19" t="s">
        <v>22</v>
      </c>
      <c r="G1810" s="16" t="s">
        <v>23</v>
      </c>
    </row>
    <row r="1811" ht="24" customHeight="1" spans="1:7" x14ac:dyDescent="0.25">
      <c r="A1811" s="23" t="s">
        <v>38</v>
      </c>
      <c r="B1811" s="23" t="s">
        <v>39</v>
      </c>
      <c r="C1811" s="24" t="s">
        <v>40</v>
      </c>
      <c r="D1811" s="24" t="s">
        <v>41</v>
      </c>
      <c r="E1811" s="25">
        <f>SUM(E1804,E1806,E1808,E1810)</f>
        <v>122.1</v>
      </c>
      <c r="F1811" s="23" t="str">
        <f>ROUND(E1811/60, 1) &amp; " Saat"</f>
        <v>2.0 Saat</v>
      </c>
      <c r="G1811" s="23" t="str">
        <f>COUNTIF(G1804:G1810, "X") &amp; "/4"</f>
        <v>0/4</v>
      </c>
    </row>
    <row r="1812" ht="22" customHeight="1" spans="1:7" x14ac:dyDescent="0.25">
      <c r="A1812" s="15" t="s">
        <v>67</v>
      </c>
      <c r="B1812" s="15"/>
      <c r="C1812" s="15"/>
      <c r="D1812" s="15"/>
      <c r="E1812" s="15"/>
      <c r="F1812" s="15"/>
      <c r="G1812" s="15"/>
    </row>
    <row r="1813" ht="22" customHeight="1" spans="1:7" x14ac:dyDescent="0.25">
      <c r="A1813" s="16" t="s">
        <v>18</v>
      </c>
      <c r="B1813" s="17" t="s">
        <v>68</v>
      </c>
      <c r="C1813" s="17" t="s">
        <v>758</v>
      </c>
      <c r="D1813" s="17" t="s">
        <v>70</v>
      </c>
      <c r="E1813" s="18">
        <v>36.3</v>
      </c>
      <c r="F1813" s="19" t="s">
        <v>22</v>
      </c>
      <c r="G1813" s="16" t="s">
        <v>23</v>
      </c>
    </row>
    <row r="1814" ht="20" customHeight="1" spans="1:7" x14ac:dyDescent="0.25">
      <c r="A1814" s="20" t="s">
        <v>24</v>
      </c>
      <c r="B1814" s="21" t="s">
        <v>25</v>
      </c>
      <c r="C1814" s="21" t="s">
        <v>26</v>
      </c>
      <c r="D1814" s="21" t="s">
        <v>27</v>
      </c>
      <c r="E1814" s="22" t="s">
        <v>23</v>
      </c>
      <c r="F1814" s="20" t="s">
        <v>27</v>
      </c>
      <c r="G1814" s="20" t="s">
        <v>27</v>
      </c>
    </row>
    <row r="1815" ht="22" customHeight="1" spans="1:7" x14ac:dyDescent="0.25">
      <c r="A1815" s="16" t="s">
        <v>28</v>
      </c>
      <c r="B1815" s="17" t="s">
        <v>68</v>
      </c>
      <c r="C1815" s="17" t="s">
        <v>759</v>
      </c>
      <c r="D1815" s="17" t="s">
        <v>70</v>
      </c>
      <c r="E1815" s="18">
        <v>29.1</v>
      </c>
      <c r="F1815" s="19" t="s">
        <v>22</v>
      </c>
      <c r="G1815" s="16" t="s">
        <v>23</v>
      </c>
    </row>
    <row r="1816" ht="20" customHeight="1" spans="1:7" x14ac:dyDescent="0.25">
      <c r="A1816" s="20" t="s">
        <v>30</v>
      </c>
      <c r="B1816" s="21" t="s">
        <v>25</v>
      </c>
      <c r="C1816" s="21" t="s">
        <v>26</v>
      </c>
      <c r="D1816" s="21" t="s">
        <v>27</v>
      </c>
      <c r="E1816" s="22" t="s">
        <v>23</v>
      </c>
      <c r="F1816" s="20" t="s">
        <v>27</v>
      </c>
      <c r="G1816" s="20" t="s">
        <v>27</v>
      </c>
    </row>
    <row r="1817" ht="22" customHeight="1" spans="1:7" x14ac:dyDescent="0.25">
      <c r="A1817" s="16" t="s">
        <v>31</v>
      </c>
      <c r="B1817" s="17" t="s">
        <v>449</v>
      </c>
      <c r="C1817" s="17" t="s">
        <v>760</v>
      </c>
      <c r="D1817" s="17" t="s">
        <v>34</v>
      </c>
      <c r="E1817" s="18">
        <v>22</v>
      </c>
      <c r="F1817" s="19" t="s">
        <v>22</v>
      </c>
      <c r="G1817" s="16" t="s">
        <v>23</v>
      </c>
    </row>
    <row r="1818" ht="20" customHeight="1" spans="1:7" x14ac:dyDescent="0.25">
      <c r="A1818" s="20" t="s">
        <v>35</v>
      </c>
      <c r="B1818" s="21" t="s">
        <v>25</v>
      </c>
      <c r="C1818" s="21" t="s">
        <v>26</v>
      </c>
      <c r="D1818" s="21" t="s">
        <v>27</v>
      </c>
      <c r="E1818" s="22" t="s">
        <v>23</v>
      </c>
      <c r="F1818" s="20" t="s">
        <v>27</v>
      </c>
      <c r="G1818" s="20" t="s">
        <v>27</v>
      </c>
    </row>
    <row r="1819" ht="22" customHeight="1" spans="1:7" x14ac:dyDescent="0.25">
      <c r="A1819" s="16" t="s">
        <v>36</v>
      </c>
      <c r="B1819" s="17" t="s">
        <v>449</v>
      </c>
      <c r="C1819" s="17" t="s">
        <v>761</v>
      </c>
      <c r="D1819" s="17" t="s">
        <v>34</v>
      </c>
      <c r="E1819" s="18">
        <v>65.6</v>
      </c>
      <c r="F1819" s="19" t="s">
        <v>22</v>
      </c>
      <c r="G1819" s="16" t="s">
        <v>23</v>
      </c>
    </row>
    <row r="1820" ht="24" customHeight="1" spans="1:7" x14ac:dyDescent="0.25">
      <c r="A1820" s="23" t="s">
        <v>38</v>
      </c>
      <c r="B1820" s="23" t="s">
        <v>39</v>
      </c>
      <c r="C1820" s="24" t="s">
        <v>40</v>
      </c>
      <c r="D1820" s="24" t="s">
        <v>41</v>
      </c>
      <c r="E1820" s="25">
        <f>SUM(E1813,E1815,E1817,E1819)</f>
        <v>153</v>
      </c>
      <c r="F1820" s="23" t="str">
        <f>ROUND(E1820/60, 1) &amp; " Saat"</f>
        <v>2.5 Saat</v>
      </c>
      <c r="G1820" s="23" t="str">
        <f>COUNTIF(G1813:G1819, "X") &amp; "/4"</f>
        <v>0/4</v>
      </c>
    </row>
    <row r="1821" ht="22" customHeight="1" spans="1:7" x14ac:dyDescent="0.25">
      <c r="A1821" s="15" t="s">
        <v>74</v>
      </c>
      <c r="B1821" s="15"/>
      <c r="C1821" s="15"/>
      <c r="D1821" s="15"/>
      <c r="E1821" s="15"/>
      <c r="F1821" s="15"/>
      <c r="G1821" s="15"/>
    </row>
    <row r="1822" ht="22" customHeight="1" spans="1:7" x14ac:dyDescent="0.25">
      <c r="A1822" s="16" t="s">
        <v>18</v>
      </c>
      <c r="B1822" s="17" t="s">
        <v>47</v>
      </c>
      <c r="C1822" s="17" t="s">
        <v>762</v>
      </c>
      <c r="D1822" s="17" t="s">
        <v>49</v>
      </c>
      <c r="E1822" s="18">
        <v>18.4</v>
      </c>
      <c r="F1822" s="19" t="s">
        <v>22</v>
      </c>
      <c r="G1822" s="16" t="s">
        <v>23</v>
      </c>
    </row>
    <row r="1823" ht="20" customHeight="1" spans="1:7" x14ac:dyDescent="0.25">
      <c r="A1823" s="20" t="s">
        <v>24</v>
      </c>
      <c r="B1823" s="21" t="s">
        <v>25</v>
      </c>
      <c r="C1823" s="21" t="s">
        <v>26</v>
      </c>
      <c r="D1823" s="21" t="s">
        <v>27</v>
      </c>
      <c r="E1823" s="22" t="s">
        <v>23</v>
      </c>
      <c r="F1823" s="20" t="s">
        <v>27</v>
      </c>
      <c r="G1823" s="20" t="s">
        <v>27</v>
      </c>
    </row>
    <row r="1824" ht="22" customHeight="1" spans="1:7" x14ac:dyDescent="0.25">
      <c r="A1824" s="16" t="s">
        <v>28</v>
      </c>
      <c r="B1824" s="17" t="s">
        <v>47</v>
      </c>
      <c r="C1824" s="17" t="s">
        <v>763</v>
      </c>
      <c r="D1824" s="17" t="s">
        <v>49</v>
      </c>
      <c r="E1824" s="18">
        <v>26.3</v>
      </c>
      <c r="F1824" s="19" t="s">
        <v>22</v>
      </c>
      <c r="G1824" s="16" t="s">
        <v>23</v>
      </c>
    </row>
    <row r="1825" ht="20" customHeight="1" spans="1:7" x14ac:dyDescent="0.25">
      <c r="A1825" s="20" t="s">
        <v>30</v>
      </c>
      <c r="B1825" s="21" t="s">
        <v>25</v>
      </c>
      <c r="C1825" s="21" t="s">
        <v>26</v>
      </c>
      <c r="D1825" s="21" t="s">
        <v>27</v>
      </c>
      <c r="E1825" s="22" t="s">
        <v>23</v>
      </c>
      <c r="F1825" s="20" t="s">
        <v>27</v>
      </c>
      <c r="G1825" s="20" t="s">
        <v>27</v>
      </c>
    </row>
    <row r="1826" ht="22" customHeight="1" spans="1:7" x14ac:dyDescent="0.25">
      <c r="A1826" s="16" t="s">
        <v>31</v>
      </c>
      <c r="B1826" s="17" t="s">
        <v>568</v>
      </c>
      <c r="C1826" s="17" t="s">
        <v>467</v>
      </c>
      <c r="D1826" s="17" t="s">
        <v>23</v>
      </c>
      <c r="E1826" s="18">
        <v>40</v>
      </c>
      <c r="F1826" s="16" t="s">
        <v>27</v>
      </c>
      <c r="G1826" s="16" t="s">
        <v>23</v>
      </c>
    </row>
    <row r="1827" ht="20" customHeight="1" spans="1:7" x14ac:dyDescent="0.25">
      <c r="A1827" s="20" t="s">
        <v>35</v>
      </c>
      <c r="B1827" s="21" t="s">
        <v>25</v>
      </c>
      <c r="C1827" s="21" t="s">
        <v>26</v>
      </c>
      <c r="D1827" s="21" t="s">
        <v>27</v>
      </c>
      <c r="E1827" s="22" t="s">
        <v>23</v>
      </c>
      <c r="F1827" s="20" t="s">
        <v>27</v>
      </c>
      <c r="G1827" s="20" t="s">
        <v>27</v>
      </c>
    </row>
    <row r="1828" ht="22" customHeight="1" spans="1:7" x14ac:dyDescent="0.25">
      <c r="A1828" s="16" t="s">
        <v>36</v>
      </c>
      <c r="B1828" s="17" t="s">
        <v>568</v>
      </c>
      <c r="C1828" s="17" t="s">
        <v>467</v>
      </c>
      <c r="D1828" s="17" t="s">
        <v>23</v>
      </c>
      <c r="E1828" s="18">
        <v>40</v>
      </c>
      <c r="F1828" s="16" t="s">
        <v>27</v>
      </c>
      <c r="G1828" s="16" t="s">
        <v>23</v>
      </c>
    </row>
    <row r="1829" ht="24" customHeight="1" spans="1:7" x14ac:dyDescent="0.25">
      <c r="A1829" s="23" t="s">
        <v>38</v>
      </c>
      <c r="B1829" s="23" t="s">
        <v>39</v>
      </c>
      <c r="C1829" s="24" t="s">
        <v>40</v>
      </c>
      <c r="D1829" s="24" t="s">
        <v>41</v>
      </c>
      <c r="E1829" s="25">
        <f>SUM(E1822,E1824,E1826,E1828)</f>
        <v>124.7</v>
      </c>
      <c r="F1829" s="23" t="str">
        <f>ROUND(E1829/60, 1) &amp; " Saat"</f>
        <v>2.1 Saat</v>
      </c>
      <c r="G1829" s="23" t="str">
        <f>COUNTIF(G1822:G1828, "X") &amp; "/4"</f>
        <v>0/4</v>
      </c>
    </row>
    <row r="1830" ht="28" customHeight="1" spans="1:7" x14ac:dyDescent="0.25">
      <c r="A1830" s="26" t="s">
        <v>79</v>
      </c>
      <c r="B1830" s="26"/>
      <c r="C1830" s="26"/>
      <c r="D1830" s="26"/>
      <c r="E1830" s="26"/>
      <c r="F1830" s="26"/>
      <c r="G1830" s="26"/>
    </row>
    <row r="1831" ht="8" customHeight="1" x14ac:dyDescent="0.25"/>
    <row r="1832" ht="25" customHeight="1" spans="1:7" x14ac:dyDescent="0.25">
      <c r="A1832" s="14" t="s">
        <v>764</v>
      </c>
      <c r="B1832" s="14"/>
      <c r="C1832" s="14"/>
      <c r="D1832" s="14"/>
      <c r="E1832" s="14"/>
      <c r="F1832" s="14"/>
      <c r="G1832" s="14"/>
    </row>
    <row r="1833" ht="22" customHeight="1" spans="1:7" x14ac:dyDescent="0.25">
      <c r="A1833" s="15" t="s">
        <v>17</v>
      </c>
      <c r="B1833" s="15"/>
      <c r="C1833" s="15"/>
      <c r="D1833" s="15"/>
      <c r="E1833" s="15"/>
      <c r="F1833" s="15"/>
      <c r="G1833" s="15"/>
    </row>
    <row r="1834" ht="22" customHeight="1" spans="1:7" x14ac:dyDescent="0.25">
      <c r="A1834" s="16" t="s">
        <v>18</v>
      </c>
      <c r="B1834" s="17" t="s">
        <v>19</v>
      </c>
      <c r="C1834" s="17" t="s">
        <v>765</v>
      </c>
      <c r="D1834" s="17" t="s">
        <v>21</v>
      </c>
      <c r="E1834" s="18">
        <v>11.4</v>
      </c>
      <c r="F1834" s="19" t="s">
        <v>22</v>
      </c>
      <c r="G1834" s="16" t="s">
        <v>23</v>
      </c>
    </row>
    <row r="1835" ht="20" customHeight="1" spans="1:7" x14ac:dyDescent="0.25">
      <c r="A1835" s="20" t="s">
        <v>24</v>
      </c>
      <c r="B1835" s="21" t="s">
        <v>25</v>
      </c>
      <c r="C1835" s="21" t="s">
        <v>26</v>
      </c>
      <c r="D1835" s="21" t="s">
        <v>27</v>
      </c>
      <c r="E1835" s="22" t="s">
        <v>23</v>
      </c>
      <c r="F1835" s="20" t="s">
        <v>27</v>
      </c>
      <c r="G1835" s="20" t="s">
        <v>27</v>
      </c>
    </row>
    <row r="1836" ht="22" customHeight="1" spans="1:7" x14ac:dyDescent="0.25">
      <c r="A1836" s="16" t="s">
        <v>28</v>
      </c>
      <c r="B1836" s="17" t="s">
        <v>19</v>
      </c>
      <c r="C1836" s="17" t="s">
        <v>766</v>
      </c>
      <c r="D1836" s="17" t="s">
        <v>21</v>
      </c>
      <c r="E1836" s="18">
        <v>20.5</v>
      </c>
      <c r="F1836" s="19" t="s">
        <v>22</v>
      </c>
      <c r="G1836" s="16" t="s">
        <v>23</v>
      </c>
    </row>
    <row r="1837" ht="20" customHeight="1" spans="1:7" x14ac:dyDescent="0.25">
      <c r="A1837" s="20" t="s">
        <v>30</v>
      </c>
      <c r="B1837" s="21" t="s">
        <v>25</v>
      </c>
      <c r="C1837" s="21" t="s">
        <v>26</v>
      </c>
      <c r="D1837" s="21" t="s">
        <v>27</v>
      </c>
      <c r="E1837" s="22" t="s">
        <v>23</v>
      </c>
      <c r="F1837" s="20" t="s">
        <v>27</v>
      </c>
      <c r="G1837" s="20" t="s">
        <v>27</v>
      </c>
    </row>
    <row r="1838" ht="22" customHeight="1" spans="1:7" x14ac:dyDescent="0.25">
      <c r="A1838" s="16" t="s">
        <v>31</v>
      </c>
      <c r="B1838" s="17" t="s">
        <v>32</v>
      </c>
      <c r="C1838" s="17" t="s">
        <v>467</v>
      </c>
      <c r="D1838" s="17" t="s">
        <v>23</v>
      </c>
      <c r="E1838" s="18">
        <v>40</v>
      </c>
      <c r="F1838" s="16" t="s">
        <v>27</v>
      </c>
      <c r="G1838" s="16" t="s">
        <v>23</v>
      </c>
    </row>
    <row r="1839" ht="20" customHeight="1" spans="1:7" x14ac:dyDescent="0.25">
      <c r="A1839" s="20" t="s">
        <v>35</v>
      </c>
      <c r="B1839" s="21" t="s">
        <v>25</v>
      </c>
      <c r="C1839" s="21" t="s">
        <v>26</v>
      </c>
      <c r="D1839" s="21" t="s">
        <v>27</v>
      </c>
      <c r="E1839" s="22" t="s">
        <v>23</v>
      </c>
      <c r="F1839" s="20" t="s">
        <v>27</v>
      </c>
      <c r="G1839" s="20" t="s">
        <v>27</v>
      </c>
    </row>
    <row r="1840" ht="22" customHeight="1" spans="1:7" x14ac:dyDescent="0.25">
      <c r="A1840" s="16" t="s">
        <v>36</v>
      </c>
      <c r="B1840" s="17" t="s">
        <v>32</v>
      </c>
      <c r="C1840" s="17" t="s">
        <v>467</v>
      </c>
      <c r="D1840" s="17" t="s">
        <v>23</v>
      </c>
      <c r="E1840" s="18">
        <v>40</v>
      </c>
      <c r="F1840" s="16" t="s">
        <v>27</v>
      </c>
      <c r="G1840" s="16" t="s">
        <v>23</v>
      </c>
    </row>
    <row r="1841" ht="24" customHeight="1" spans="1:7" x14ac:dyDescent="0.25">
      <c r="A1841" s="23" t="s">
        <v>38</v>
      </c>
      <c r="B1841" s="23" t="s">
        <v>39</v>
      </c>
      <c r="C1841" s="24" t="s">
        <v>40</v>
      </c>
      <c r="D1841" s="24" t="s">
        <v>41</v>
      </c>
      <c r="E1841" s="25">
        <f>SUM(E1834,E1836,E1838,E1840)</f>
        <v>111.9</v>
      </c>
      <c r="F1841" s="23" t="str">
        <f>ROUND(E1841/60, 1) &amp; " Saat"</f>
        <v>1.9 Saat</v>
      </c>
      <c r="G1841" s="23" t="str">
        <f>COUNTIF(G1834:G1840, "X") &amp; "/4"</f>
        <v>0/4</v>
      </c>
    </row>
    <row r="1842" ht="22" customHeight="1" spans="1:7" x14ac:dyDescent="0.25">
      <c r="A1842" s="15" t="s">
        <v>42</v>
      </c>
      <c r="B1842" s="15"/>
      <c r="C1842" s="15"/>
      <c r="D1842" s="15"/>
      <c r="E1842" s="15"/>
      <c r="F1842" s="15"/>
      <c r="G1842" s="15"/>
    </row>
    <row r="1843" ht="22" customHeight="1" spans="1:7" x14ac:dyDescent="0.25">
      <c r="A1843" s="16" t="s">
        <v>18</v>
      </c>
      <c r="B1843" s="17" t="s">
        <v>43</v>
      </c>
      <c r="C1843" s="17" t="s">
        <v>467</v>
      </c>
      <c r="D1843" s="17" t="s">
        <v>23</v>
      </c>
      <c r="E1843" s="18">
        <v>40</v>
      </c>
      <c r="F1843" s="16" t="s">
        <v>27</v>
      </c>
      <c r="G1843" s="16" t="s">
        <v>23</v>
      </c>
    </row>
    <row r="1844" ht="20" customHeight="1" spans="1:7" x14ac:dyDescent="0.25">
      <c r="A1844" s="20" t="s">
        <v>24</v>
      </c>
      <c r="B1844" s="21" t="s">
        <v>25</v>
      </c>
      <c r="C1844" s="21" t="s">
        <v>26</v>
      </c>
      <c r="D1844" s="21" t="s">
        <v>27</v>
      </c>
      <c r="E1844" s="22" t="s">
        <v>23</v>
      </c>
      <c r="F1844" s="20" t="s">
        <v>27</v>
      </c>
      <c r="G1844" s="20" t="s">
        <v>27</v>
      </c>
    </row>
    <row r="1845" ht="22" customHeight="1" spans="1:7" x14ac:dyDescent="0.25">
      <c r="A1845" s="16" t="s">
        <v>28</v>
      </c>
      <c r="B1845" s="17" t="s">
        <v>43</v>
      </c>
      <c r="C1845" s="17" t="s">
        <v>467</v>
      </c>
      <c r="D1845" s="17" t="s">
        <v>23</v>
      </c>
      <c r="E1845" s="18">
        <v>40</v>
      </c>
      <c r="F1845" s="16" t="s">
        <v>27</v>
      </c>
      <c r="G1845" s="16" t="s">
        <v>23</v>
      </c>
    </row>
    <row r="1846" ht="20" customHeight="1" spans="1:7" x14ac:dyDescent="0.25">
      <c r="A1846" s="20" t="s">
        <v>30</v>
      </c>
      <c r="B1846" s="21" t="s">
        <v>25</v>
      </c>
      <c r="C1846" s="21" t="s">
        <v>26</v>
      </c>
      <c r="D1846" s="21" t="s">
        <v>27</v>
      </c>
      <c r="E1846" s="22" t="s">
        <v>23</v>
      </c>
      <c r="F1846" s="20" t="s">
        <v>27</v>
      </c>
      <c r="G1846" s="20" t="s">
        <v>27</v>
      </c>
    </row>
    <row r="1847" ht="22" customHeight="1" spans="1:7" x14ac:dyDescent="0.25">
      <c r="A1847" s="16" t="s">
        <v>31</v>
      </c>
      <c r="B1847" s="17" t="s">
        <v>47</v>
      </c>
      <c r="C1847" s="17" t="s">
        <v>767</v>
      </c>
      <c r="D1847" s="17" t="s">
        <v>49</v>
      </c>
      <c r="E1847" s="18">
        <v>33.4</v>
      </c>
      <c r="F1847" s="19" t="s">
        <v>22</v>
      </c>
      <c r="G1847" s="16" t="s">
        <v>23</v>
      </c>
    </row>
    <row r="1848" ht="20" customHeight="1" spans="1:7" x14ac:dyDescent="0.25">
      <c r="A1848" s="20" t="s">
        <v>35</v>
      </c>
      <c r="B1848" s="21" t="s">
        <v>25</v>
      </c>
      <c r="C1848" s="21" t="s">
        <v>26</v>
      </c>
      <c r="D1848" s="21" t="s">
        <v>27</v>
      </c>
      <c r="E1848" s="22" t="s">
        <v>23</v>
      </c>
      <c r="F1848" s="20" t="s">
        <v>27</v>
      </c>
      <c r="G1848" s="20" t="s">
        <v>27</v>
      </c>
    </row>
    <row r="1849" ht="22" customHeight="1" spans="1:7" x14ac:dyDescent="0.25">
      <c r="A1849" s="16" t="s">
        <v>36</v>
      </c>
      <c r="B1849" s="17" t="s">
        <v>47</v>
      </c>
      <c r="C1849" s="17" t="s">
        <v>768</v>
      </c>
      <c r="D1849" s="17" t="s">
        <v>49</v>
      </c>
      <c r="E1849" s="18">
        <v>26.6</v>
      </c>
      <c r="F1849" s="19" t="s">
        <v>22</v>
      </c>
      <c r="G1849" s="16" t="s">
        <v>23</v>
      </c>
    </row>
    <row r="1850" ht="24" customHeight="1" spans="1:7" x14ac:dyDescent="0.25">
      <c r="A1850" s="23" t="s">
        <v>38</v>
      </c>
      <c r="B1850" s="23" t="s">
        <v>39</v>
      </c>
      <c r="C1850" s="24" t="s">
        <v>40</v>
      </c>
      <c r="D1850" s="24" t="s">
        <v>41</v>
      </c>
      <c r="E1850" s="25">
        <f>SUM(E1843,E1845,E1847,E1849)</f>
        <v>140</v>
      </c>
      <c r="F1850" s="23" t="str">
        <f>ROUND(E1850/60, 1) &amp; " Saat"</f>
        <v>2.3 Saat</v>
      </c>
      <c r="G1850" s="23" t="str">
        <f>COUNTIF(G1843:G1849, "X") &amp; "/4"</f>
        <v>0/4</v>
      </c>
    </row>
    <row r="1851" ht="22" customHeight="1" spans="1:7" x14ac:dyDescent="0.25">
      <c r="A1851" s="15" t="s">
        <v>51</v>
      </c>
      <c r="B1851" s="15"/>
      <c r="C1851" s="15"/>
      <c r="D1851" s="15"/>
      <c r="E1851" s="15"/>
      <c r="F1851" s="15"/>
      <c r="G1851" s="15"/>
    </row>
    <row r="1852" ht="22" customHeight="1" spans="1:7" x14ac:dyDescent="0.25">
      <c r="A1852" s="16" t="s">
        <v>18</v>
      </c>
      <c r="B1852" s="17" t="s">
        <v>52</v>
      </c>
      <c r="C1852" s="17" t="s">
        <v>467</v>
      </c>
      <c r="D1852" s="17" t="s">
        <v>23</v>
      </c>
      <c r="E1852" s="18">
        <v>40</v>
      </c>
      <c r="F1852" s="16" t="s">
        <v>27</v>
      </c>
      <c r="G1852" s="16" t="s">
        <v>23</v>
      </c>
    </row>
    <row r="1853" ht="20" customHeight="1" spans="1:7" x14ac:dyDescent="0.25">
      <c r="A1853" s="20" t="s">
        <v>24</v>
      </c>
      <c r="B1853" s="21" t="s">
        <v>25</v>
      </c>
      <c r="C1853" s="21" t="s">
        <v>26</v>
      </c>
      <c r="D1853" s="21" t="s">
        <v>27</v>
      </c>
      <c r="E1853" s="22" t="s">
        <v>23</v>
      </c>
      <c r="F1853" s="20" t="s">
        <v>27</v>
      </c>
      <c r="G1853" s="20" t="s">
        <v>27</v>
      </c>
    </row>
    <row r="1854" ht="22" customHeight="1" spans="1:7" x14ac:dyDescent="0.25">
      <c r="A1854" s="16" t="s">
        <v>28</v>
      </c>
      <c r="B1854" s="17" t="s">
        <v>52</v>
      </c>
      <c r="C1854" s="17" t="s">
        <v>467</v>
      </c>
      <c r="D1854" s="17" t="s">
        <v>23</v>
      </c>
      <c r="E1854" s="18">
        <v>40</v>
      </c>
      <c r="F1854" s="16" t="s">
        <v>27</v>
      </c>
      <c r="G1854" s="16" t="s">
        <v>23</v>
      </c>
    </row>
    <row r="1855" ht="20" customHeight="1" spans="1:7" x14ac:dyDescent="0.25">
      <c r="A1855" s="20" t="s">
        <v>30</v>
      </c>
      <c r="B1855" s="21" t="s">
        <v>25</v>
      </c>
      <c r="C1855" s="21" t="s">
        <v>26</v>
      </c>
      <c r="D1855" s="21" t="s">
        <v>27</v>
      </c>
      <c r="E1855" s="22" t="s">
        <v>23</v>
      </c>
      <c r="F1855" s="20" t="s">
        <v>27</v>
      </c>
      <c r="G1855" s="20" t="s">
        <v>27</v>
      </c>
    </row>
    <row r="1856" ht="22" customHeight="1" spans="1:7" x14ac:dyDescent="0.25">
      <c r="A1856" s="16" t="s">
        <v>31</v>
      </c>
      <c r="B1856" s="17" t="s">
        <v>56</v>
      </c>
      <c r="C1856" s="17" t="s">
        <v>467</v>
      </c>
      <c r="D1856" s="17" t="s">
        <v>23</v>
      </c>
      <c r="E1856" s="18">
        <v>40</v>
      </c>
      <c r="F1856" s="16" t="s">
        <v>27</v>
      </c>
      <c r="G1856" s="16" t="s">
        <v>23</v>
      </c>
    </row>
    <row r="1857" ht="20" customHeight="1" spans="1:7" x14ac:dyDescent="0.25">
      <c r="A1857" s="20" t="s">
        <v>35</v>
      </c>
      <c r="B1857" s="21" t="s">
        <v>25</v>
      </c>
      <c r="C1857" s="21" t="s">
        <v>26</v>
      </c>
      <c r="D1857" s="21" t="s">
        <v>27</v>
      </c>
      <c r="E1857" s="22" t="s">
        <v>23</v>
      </c>
      <c r="F1857" s="20" t="s">
        <v>27</v>
      </c>
      <c r="G1857" s="20" t="s">
        <v>27</v>
      </c>
    </row>
    <row r="1858" ht="22" customHeight="1" spans="1:7" x14ac:dyDescent="0.25">
      <c r="A1858" s="16" t="s">
        <v>36</v>
      </c>
      <c r="B1858" s="17" t="s">
        <v>56</v>
      </c>
      <c r="C1858" s="17" t="s">
        <v>467</v>
      </c>
      <c r="D1858" s="17" t="s">
        <v>23</v>
      </c>
      <c r="E1858" s="18">
        <v>40</v>
      </c>
      <c r="F1858" s="16" t="s">
        <v>27</v>
      </c>
      <c r="G1858" s="16" t="s">
        <v>23</v>
      </c>
    </row>
    <row r="1859" ht="24" customHeight="1" spans="1:7" x14ac:dyDescent="0.25">
      <c r="A1859" s="23" t="s">
        <v>38</v>
      </c>
      <c r="B1859" s="23" t="s">
        <v>39</v>
      </c>
      <c r="C1859" s="24" t="s">
        <v>40</v>
      </c>
      <c r="D1859" s="24" t="s">
        <v>41</v>
      </c>
      <c r="E1859" s="25">
        <f>SUM(E1852,E1854,E1856,E1858)</f>
        <v>160</v>
      </c>
      <c r="F1859" s="23" t="str">
        <f>ROUND(E1859/60, 1) &amp; " Saat"</f>
        <v>2.7 Saat</v>
      </c>
      <c r="G1859" s="23" t="str">
        <f>COUNTIF(G1852:G1858, "X") &amp; "/4"</f>
        <v>0/4</v>
      </c>
    </row>
    <row r="1860" ht="22" customHeight="1" spans="1:7" x14ac:dyDescent="0.25">
      <c r="A1860" s="15" t="s">
        <v>60</v>
      </c>
      <c r="B1860" s="15"/>
      <c r="C1860" s="15"/>
      <c r="D1860" s="15"/>
      <c r="E1860" s="15"/>
      <c r="F1860" s="15"/>
      <c r="G1860" s="15"/>
    </row>
    <row r="1861" ht="22" customHeight="1" spans="1:7" x14ac:dyDescent="0.25">
      <c r="A1861" s="16" t="s">
        <v>18</v>
      </c>
      <c r="B1861" s="17" t="s">
        <v>43</v>
      </c>
      <c r="C1861" s="17" t="s">
        <v>467</v>
      </c>
      <c r="D1861" s="17" t="s">
        <v>23</v>
      </c>
      <c r="E1861" s="18">
        <v>40</v>
      </c>
      <c r="F1861" s="16" t="s">
        <v>27</v>
      </c>
      <c r="G1861" s="16" t="s">
        <v>23</v>
      </c>
    </row>
    <row r="1862" ht="20" customHeight="1" spans="1:7" x14ac:dyDescent="0.25">
      <c r="A1862" s="20" t="s">
        <v>24</v>
      </c>
      <c r="B1862" s="21" t="s">
        <v>25</v>
      </c>
      <c r="C1862" s="21" t="s">
        <v>26</v>
      </c>
      <c r="D1862" s="21" t="s">
        <v>27</v>
      </c>
      <c r="E1862" s="22" t="s">
        <v>23</v>
      </c>
      <c r="F1862" s="20" t="s">
        <v>27</v>
      </c>
      <c r="G1862" s="20" t="s">
        <v>27</v>
      </c>
    </row>
    <row r="1863" ht="22" customHeight="1" spans="1:7" x14ac:dyDescent="0.25">
      <c r="A1863" s="16" t="s">
        <v>28</v>
      </c>
      <c r="B1863" s="17" t="s">
        <v>43</v>
      </c>
      <c r="C1863" s="17" t="s">
        <v>467</v>
      </c>
      <c r="D1863" s="17" t="s">
        <v>23</v>
      </c>
      <c r="E1863" s="18">
        <v>40</v>
      </c>
      <c r="F1863" s="16" t="s">
        <v>27</v>
      </c>
      <c r="G1863" s="16" t="s">
        <v>23</v>
      </c>
    </row>
    <row r="1864" ht="20" customHeight="1" spans="1:7" x14ac:dyDescent="0.25">
      <c r="A1864" s="20" t="s">
        <v>30</v>
      </c>
      <c r="B1864" s="21" t="s">
        <v>25</v>
      </c>
      <c r="C1864" s="21" t="s">
        <v>26</v>
      </c>
      <c r="D1864" s="21" t="s">
        <v>27</v>
      </c>
      <c r="E1864" s="22" t="s">
        <v>23</v>
      </c>
      <c r="F1864" s="20" t="s">
        <v>27</v>
      </c>
      <c r="G1864" s="20" t="s">
        <v>27</v>
      </c>
    </row>
    <row r="1865" ht="22" customHeight="1" spans="1:7" x14ac:dyDescent="0.25">
      <c r="A1865" s="16" t="s">
        <v>31</v>
      </c>
      <c r="B1865" s="17" t="s">
        <v>63</v>
      </c>
      <c r="C1865" s="17" t="s">
        <v>769</v>
      </c>
      <c r="D1865" s="17" t="s">
        <v>65</v>
      </c>
      <c r="E1865" s="18">
        <v>19.9</v>
      </c>
      <c r="F1865" s="19" t="s">
        <v>22</v>
      </c>
      <c r="G1865" s="16" t="s">
        <v>23</v>
      </c>
    </row>
    <row r="1866" ht="20" customHeight="1" spans="1:7" x14ac:dyDescent="0.25">
      <c r="A1866" s="20" t="s">
        <v>35</v>
      </c>
      <c r="B1866" s="21" t="s">
        <v>25</v>
      </c>
      <c r="C1866" s="21" t="s">
        <v>26</v>
      </c>
      <c r="D1866" s="21" t="s">
        <v>27</v>
      </c>
      <c r="E1866" s="22" t="s">
        <v>23</v>
      </c>
      <c r="F1866" s="20" t="s">
        <v>27</v>
      </c>
      <c r="G1866" s="20" t="s">
        <v>27</v>
      </c>
    </row>
    <row r="1867" ht="22" customHeight="1" spans="1:7" x14ac:dyDescent="0.25">
      <c r="A1867" s="16" t="s">
        <v>36</v>
      </c>
      <c r="B1867" s="17" t="s">
        <v>63</v>
      </c>
      <c r="C1867" s="17" t="s">
        <v>770</v>
      </c>
      <c r="D1867" s="17" t="s">
        <v>65</v>
      </c>
      <c r="E1867" s="18">
        <v>24.4</v>
      </c>
      <c r="F1867" s="19" t="s">
        <v>22</v>
      </c>
      <c r="G1867" s="16" t="s">
        <v>23</v>
      </c>
    </row>
    <row r="1868" ht="24" customHeight="1" spans="1:7" x14ac:dyDescent="0.25">
      <c r="A1868" s="23" t="s">
        <v>38</v>
      </c>
      <c r="B1868" s="23" t="s">
        <v>39</v>
      </c>
      <c r="C1868" s="24" t="s">
        <v>40</v>
      </c>
      <c r="D1868" s="24" t="s">
        <v>41</v>
      </c>
      <c r="E1868" s="25">
        <f>SUM(E1861,E1863,E1865,E1867)</f>
        <v>124.3</v>
      </c>
      <c r="F1868" s="23" t="str">
        <f>ROUND(E1868/60, 1) &amp; " Saat"</f>
        <v>2.1 Saat</v>
      </c>
      <c r="G1868" s="23" t="str">
        <f>COUNTIF(G1861:G1867, "X") &amp; "/4"</f>
        <v>0/4</v>
      </c>
    </row>
    <row r="1869" ht="22" customHeight="1" spans="1:7" x14ac:dyDescent="0.25">
      <c r="A1869" s="15" t="s">
        <v>67</v>
      </c>
      <c r="B1869" s="15"/>
      <c r="C1869" s="15"/>
      <c r="D1869" s="15"/>
      <c r="E1869" s="15"/>
      <c r="F1869" s="15"/>
      <c r="G1869" s="15"/>
    </row>
    <row r="1870" ht="22" customHeight="1" spans="1:7" x14ac:dyDescent="0.25">
      <c r="A1870" s="16" t="s">
        <v>18</v>
      </c>
      <c r="B1870" s="17" t="s">
        <v>68</v>
      </c>
      <c r="C1870" s="17" t="s">
        <v>771</v>
      </c>
      <c r="D1870" s="17" t="s">
        <v>70</v>
      </c>
      <c r="E1870" s="18">
        <v>19.4</v>
      </c>
      <c r="F1870" s="19" t="s">
        <v>22</v>
      </c>
      <c r="G1870" s="16" t="s">
        <v>23</v>
      </c>
    </row>
    <row r="1871" ht="20" customHeight="1" spans="1:7" x14ac:dyDescent="0.25">
      <c r="A1871" s="20" t="s">
        <v>24</v>
      </c>
      <c r="B1871" s="21" t="s">
        <v>25</v>
      </c>
      <c r="C1871" s="21" t="s">
        <v>26</v>
      </c>
      <c r="D1871" s="21" t="s">
        <v>27</v>
      </c>
      <c r="E1871" s="22" t="s">
        <v>23</v>
      </c>
      <c r="F1871" s="20" t="s">
        <v>27</v>
      </c>
      <c r="G1871" s="20" t="s">
        <v>27</v>
      </c>
    </row>
    <row r="1872" ht="22" customHeight="1" spans="1:7" x14ac:dyDescent="0.25">
      <c r="A1872" s="16" t="s">
        <v>28</v>
      </c>
      <c r="B1872" s="17" t="s">
        <v>68</v>
      </c>
      <c r="C1872" s="17" t="s">
        <v>772</v>
      </c>
      <c r="D1872" s="17" t="s">
        <v>70</v>
      </c>
      <c r="E1872" s="18">
        <v>38.6</v>
      </c>
      <c r="F1872" s="19" t="s">
        <v>22</v>
      </c>
      <c r="G1872" s="16" t="s">
        <v>23</v>
      </c>
    </row>
    <row r="1873" ht="20" customHeight="1" spans="1:7" x14ac:dyDescent="0.25">
      <c r="A1873" s="20" t="s">
        <v>30</v>
      </c>
      <c r="B1873" s="21" t="s">
        <v>25</v>
      </c>
      <c r="C1873" s="21" t="s">
        <v>26</v>
      </c>
      <c r="D1873" s="21" t="s">
        <v>27</v>
      </c>
      <c r="E1873" s="22" t="s">
        <v>23</v>
      </c>
      <c r="F1873" s="20" t="s">
        <v>27</v>
      </c>
      <c r="G1873" s="20" t="s">
        <v>27</v>
      </c>
    </row>
    <row r="1874" ht="22" customHeight="1" spans="1:7" x14ac:dyDescent="0.25">
      <c r="A1874" s="16" t="s">
        <v>31</v>
      </c>
      <c r="B1874" s="17" t="s">
        <v>449</v>
      </c>
      <c r="C1874" s="17" t="s">
        <v>773</v>
      </c>
      <c r="D1874" s="17" t="s">
        <v>34</v>
      </c>
      <c r="E1874" s="18">
        <v>81.2</v>
      </c>
      <c r="F1874" s="19" t="s">
        <v>22</v>
      </c>
      <c r="G1874" s="16" t="s">
        <v>23</v>
      </c>
    </row>
    <row r="1875" ht="20" customHeight="1" spans="1:7" x14ac:dyDescent="0.25">
      <c r="A1875" s="20" t="s">
        <v>35</v>
      </c>
      <c r="B1875" s="21" t="s">
        <v>25</v>
      </c>
      <c r="C1875" s="21" t="s">
        <v>26</v>
      </c>
      <c r="D1875" s="21" t="s">
        <v>27</v>
      </c>
      <c r="E1875" s="22" t="s">
        <v>23</v>
      </c>
      <c r="F1875" s="20" t="s">
        <v>27</v>
      </c>
      <c r="G1875" s="20" t="s">
        <v>27</v>
      </c>
    </row>
    <row r="1876" ht="22" customHeight="1" spans="1:7" x14ac:dyDescent="0.25">
      <c r="A1876" s="16" t="s">
        <v>36</v>
      </c>
      <c r="B1876" s="17" t="s">
        <v>449</v>
      </c>
      <c r="C1876" s="17" t="s">
        <v>774</v>
      </c>
      <c r="D1876" s="17" t="s">
        <v>34</v>
      </c>
      <c r="E1876" s="18">
        <v>47.5</v>
      </c>
      <c r="F1876" s="19" t="s">
        <v>22</v>
      </c>
      <c r="G1876" s="16" t="s">
        <v>23</v>
      </c>
    </row>
    <row r="1877" ht="24" customHeight="1" spans="1:7" x14ac:dyDescent="0.25">
      <c r="A1877" s="23" t="s">
        <v>38</v>
      </c>
      <c r="B1877" s="23" t="s">
        <v>39</v>
      </c>
      <c r="C1877" s="24" t="s">
        <v>40</v>
      </c>
      <c r="D1877" s="24" t="s">
        <v>41</v>
      </c>
      <c r="E1877" s="25">
        <f>SUM(E1870,E1872,E1874,E1876)</f>
        <v>186.7</v>
      </c>
      <c r="F1877" s="23" t="str">
        <f>ROUND(E1877/60, 1) &amp; " Saat"</f>
        <v>3.1 Saat</v>
      </c>
      <c r="G1877" s="23" t="str">
        <f>COUNTIF(G1870:G1876, "X") &amp; "/4"</f>
        <v>0/4</v>
      </c>
    </row>
    <row r="1878" ht="22" customHeight="1" spans="1:7" x14ac:dyDescent="0.25">
      <c r="A1878" s="15" t="s">
        <v>74</v>
      </c>
      <c r="B1878" s="15"/>
      <c r="C1878" s="15"/>
      <c r="D1878" s="15"/>
      <c r="E1878" s="15"/>
      <c r="F1878" s="15"/>
      <c r="G1878" s="15"/>
    </row>
    <row r="1879" ht="22" customHeight="1" spans="1:7" x14ac:dyDescent="0.25">
      <c r="A1879" s="16" t="s">
        <v>18</v>
      </c>
      <c r="B1879" s="17" t="s">
        <v>47</v>
      </c>
      <c r="C1879" s="17" t="s">
        <v>775</v>
      </c>
      <c r="D1879" s="17" t="s">
        <v>49</v>
      </c>
      <c r="E1879" s="18">
        <v>39.8</v>
      </c>
      <c r="F1879" s="19" t="s">
        <v>22</v>
      </c>
      <c r="G1879" s="16" t="s">
        <v>23</v>
      </c>
    </row>
    <row r="1880" ht="20" customHeight="1" spans="1:7" x14ac:dyDescent="0.25">
      <c r="A1880" s="20" t="s">
        <v>24</v>
      </c>
      <c r="B1880" s="21" t="s">
        <v>25</v>
      </c>
      <c r="C1880" s="21" t="s">
        <v>26</v>
      </c>
      <c r="D1880" s="21" t="s">
        <v>27</v>
      </c>
      <c r="E1880" s="22" t="s">
        <v>23</v>
      </c>
      <c r="F1880" s="20" t="s">
        <v>27</v>
      </c>
      <c r="G1880" s="20" t="s">
        <v>27</v>
      </c>
    </row>
    <row r="1881" ht="22" customHeight="1" spans="1:7" x14ac:dyDescent="0.25">
      <c r="A1881" s="16" t="s">
        <v>28</v>
      </c>
      <c r="B1881" s="17" t="s">
        <v>47</v>
      </c>
      <c r="C1881" s="17" t="s">
        <v>776</v>
      </c>
      <c r="D1881" s="17" t="s">
        <v>49</v>
      </c>
      <c r="E1881" s="18">
        <v>37.8</v>
      </c>
      <c r="F1881" s="19" t="s">
        <v>22</v>
      </c>
      <c r="G1881" s="16" t="s">
        <v>23</v>
      </c>
    </row>
    <row r="1882" ht="20" customHeight="1" spans="1:7" x14ac:dyDescent="0.25">
      <c r="A1882" s="20" t="s">
        <v>30</v>
      </c>
      <c r="B1882" s="21" t="s">
        <v>25</v>
      </c>
      <c r="C1882" s="21" t="s">
        <v>26</v>
      </c>
      <c r="D1882" s="21" t="s">
        <v>27</v>
      </c>
      <c r="E1882" s="22" t="s">
        <v>23</v>
      </c>
      <c r="F1882" s="20" t="s">
        <v>27</v>
      </c>
      <c r="G1882" s="20" t="s">
        <v>27</v>
      </c>
    </row>
    <row r="1883" ht="22" customHeight="1" spans="1:7" x14ac:dyDescent="0.25">
      <c r="A1883" s="16" t="s">
        <v>31</v>
      </c>
      <c r="B1883" s="17" t="s">
        <v>568</v>
      </c>
      <c r="C1883" s="17" t="s">
        <v>467</v>
      </c>
      <c r="D1883" s="17" t="s">
        <v>23</v>
      </c>
      <c r="E1883" s="18">
        <v>40</v>
      </c>
      <c r="F1883" s="16" t="s">
        <v>27</v>
      </c>
      <c r="G1883" s="16" t="s">
        <v>23</v>
      </c>
    </row>
    <row r="1884" ht="20" customHeight="1" spans="1:7" x14ac:dyDescent="0.25">
      <c r="A1884" s="20" t="s">
        <v>35</v>
      </c>
      <c r="B1884" s="21" t="s">
        <v>25</v>
      </c>
      <c r="C1884" s="21" t="s">
        <v>26</v>
      </c>
      <c r="D1884" s="21" t="s">
        <v>27</v>
      </c>
      <c r="E1884" s="22" t="s">
        <v>23</v>
      </c>
      <c r="F1884" s="20" t="s">
        <v>27</v>
      </c>
      <c r="G1884" s="20" t="s">
        <v>27</v>
      </c>
    </row>
    <row r="1885" ht="22" customHeight="1" spans="1:7" x14ac:dyDescent="0.25">
      <c r="A1885" s="16" t="s">
        <v>36</v>
      </c>
      <c r="B1885" s="17" t="s">
        <v>568</v>
      </c>
      <c r="C1885" s="17" t="s">
        <v>467</v>
      </c>
      <c r="D1885" s="17" t="s">
        <v>23</v>
      </c>
      <c r="E1885" s="18">
        <v>40</v>
      </c>
      <c r="F1885" s="16" t="s">
        <v>27</v>
      </c>
      <c r="G1885" s="16" t="s">
        <v>23</v>
      </c>
    </row>
    <row r="1886" ht="24" customHeight="1" spans="1:7" x14ac:dyDescent="0.25">
      <c r="A1886" s="23" t="s">
        <v>38</v>
      </c>
      <c r="B1886" s="23" t="s">
        <v>39</v>
      </c>
      <c r="C1886" s="24" t="s">
        <v>40</v>
      </c>
      <c r="D1886" s="24" t="s">
        <v>41</v>
      </c>
      <c r="E1886" s="25">
        <f>SUM(E1879,E1881,E1883,E1885)</f>
        <v>157.6</v>
      </c>
      <c r="F1886" s="23" t="str">
        <f>ROUND(E1886/60, 1) &amp; " Saat"</f>
        <v>2.6 Saat</v>
      </c>
      <c r="G1886" s="23" t="str">
        <f>COUNTIF(G1879:G1885, "X") &amp; "/4"</f>
        <v>0/4</v>
      </c>
    </row>
    <row r="1887" ht="28" customHeight="1" spans="1:7" x14ac:dyDescent="0.25">
      <c r="A1887" s="26" t="s">
        <v>79</v>
      </c>
      <c r="B1887" s="26"/>
      <c r="C1887" s="26"/>
      <c r="D1887" s="26"/>
      <c r="E1887" s="26"/>
      <c r="F1887" s="26"/>
      <c r="G1887" s="26"/>
    </row>
    <row r="1888" ht="8" customHeight="1" x14ac:dyDescent="0.25"/>
    <row r="1889" ht="25" customHeight="1" spans="1:7" x14ac:dyDescent="0.25">
      <c r="A1889" s="14" t="s">
        <v>777</v>
      </c>
      <c r="B1889" s="14"/>
      <c r="C1889" s="14"/>
      <c r="D1889" s="14"/>
      <c r="E1889" s="14"/>
      <c r="F1889" s="14"/>
      <c r="G1889" s="14"/>
    </row>
    <row r="1890" ht="22" customHeight="1" spans="1:7" x14ac:dyDescent="0.25">
      <c r="A1890" s="15" t="s">
        <v>17</v>
      </c>
      <c r="B1890" s="15"/>
      <c r="C1890" s="15"/>
      <c r="D1890" s="15"/>
      <c r="E1890" s="15"/>
      <c r="F1890" s="15"/>
      <c r="G1890" s="15"/>
    </row>
    <row r="1891" ht="22" customHeight="1" spans="1:7" x14ac:dyDescent="0.25">
      <c r="A1891" s="16" t="s">
        <v>18</v>
      </c>
      <c r="B1891" s="17" t="s">
        <v>19</v>
      </c>
      <c r="C1891" s="17" t="s">
        <v>778</v>
      </c>
      <c r="D1891" s="17" t="s">
        <v>21</v>
      </c>
      <c r="E1891" s="18">
        <v>16.7</v>
      </c>
      <c r="F1891" s="19" t="s">
        <v>22</v>
      </c>
      <c r="G1891" s="16" t="s">
        <v>23</v>
      </c>
    </row>
    <row r="1892" ht="20" customHeight="1" spans="1:7" x14ac:dyDescent="0.25">
      <c r="A1892" s="20" t="s">
        <v>24</v>
      </c>
      <c r="B1892" s="21" t="s">
        <v>25</v>
      </c>
      <c r="C1892" s="21" t="s">
        <v>26</v>
      </c>
      <c r="D1892" s="21" t="s">
        <v>27</v>
      </c>
      <c r="E1892" s="22" t="s">
        <v>23</v>
      </c>
      <c r="F1892" s="20" t="s">
        <v>27</v>
      </c>
      <c r="G1892" s="20" t="s">
        <v>27</v>
      </c>
    </row>
    <row r="1893" ht="22" customHeight="1" spans="1:7" x14ac:dyDescent="0.25">
      <c r="A1893" s="16" t="s">
        <v>28</v>
      </c>
      <c r="B1893" s="17" t="s">
        <v>19</v>
      </c>
      <c r="C1893" s="17" t="s">
        <v>779</v>
      </c>
      <c r="D1893" s="17" t="s">
        <v>21</v>
      </c>
      <c r="E1893" s="18">
        <v>9.8</v>
      </c>
      <c r="F1893" s="19" t="s">
        <v>22</v>
      </c>
      <c r="G1893" s="16" t="s">
        <v>23</v>
      </c>
    </row>
    <row r="1894" ht="20" customHeight="1" spans="1:7" x14ac:dyDescent="0.25">
      <c r="A1894" s="20" t="s">
        <v>30</v>
      </c>
      <c r="B1894" s="21" t="s">
        <v>25</v>
      </c>
      <c r="C1894" s="21" t="s">
        <v>26</v>
      </c>
      <c r="D1894" s="21" t="s">
        <v>27</v>
      </c>
      <c r="E1894" s="22" t="s">
        <v>23</v>
      </c>
      <c r="F1894" s="20" t="s">
        <v>27</v>
      </c>
      <c r="G1894" s="20" t="s">
        <v>27</v>
      </c>
    </row>
    <row r="1895" ht="22" customHeight="1" spans="1:7" x14ac:dyDescent="0.25">
      <c r="A1895" s="16" t="s">
        <v>31</v>
      </c>
      <c r="B1895" s="17" t="s">
        <v>32</v>
      </c>
      <c r="C1895" s="17" t="s">
        <v>467</v>
      </c>
      <c r="D1895" s="17" t="s">
        <v>23</v>
      </c>
      <c r="E1895" s="18">
        <v>40</v>
      </c>
      <c r="F1895" s="16" t="s">
        <v>27</v>
      </c>
      <c r="G1895" s="16" t="s">
        <v>23</v>
      </c>
    </row>
    <row r="1896" ht="20" customHeight="1" spans="1:7" x14ac:dyDescent="0.25">
      <c r="A1896" s="20" t="s">
        <v>35</v>
      </c>
      <c r="B1896" s="21" t="s">
        <v>25</v>
      </c>
      <c r="C1896" s="21" t="s">
        <v>26</v>
      </c>
      <c r="D1896" s="21" t="s">
        <v>27</v>
      </c>
      <c r="E1896" s="22" t="s">
        <v>23</v>
      </c>
      <c r="F1896" s="20" t="s">
        <v>27</v>
      </c>
      <c r="G1896" s="20" t="s">
        <v>27</v>
      </c>
    </row>
    <row r="1897" ht="22" customHeight="1" spans="1:7" x14ac:dyDescent="0.25">
      <c r="A1897" s="16" t="s">
        <v>36</v>
      </c>
      <c r="B1897" s="17" t="s">
        <v>32</v>
      </c>
      <c r="C1897" s="17" t="s">
        <v>467</v>
      </c>
      <c r="D1897" s="17" t="s">
        <v>23</v>
      </c>
      <c r="E1897" s="18">
        <v>40</v>
      </c>
      <c r="F1897" s="16" t="s">
        <v>27</v>
      </c>
      <c r="G1897" s="16" t="s">
        <v>23</v>
      </c>
    </row>
    <row r="1898" ht="24" customHeight="1" spans="1:7" x14ac:dyDescent="0.25">
      <c r="A1898" s="23" t="s">
        <v>38</v>
      </c>
      <c r="B1898" s="23" t="s">
        <v>39</v>
      </c>
      <c r="C1898" s="24" t="s">
        <v>40</v>
      </c>
      <c r="D1898" s="24" t="s">
        <v>41</v>
      </c>
      <c r="E1898" s="25">
        <f>SUM(E1891,E1893,E1895,E1897)</f>
        <v>106.5</v>
      </c>
      <c r="F1898" s="23" t="str">
        <f>ROUND(E1898/60, 1) &amp; " Saat"</f>
        <v>1.8 Saat</v>
      </c>
      <c r="G1898" s="23" t="str">
        <f>COUNTIF(G1891:G1897, "X") &amp; "/4"</f>
        <v>0/4</v>
      </c>
    </row>
    <row r="1899" ht="22" customHeight="1" spans="1:7" x14ac:dyDescent="0.25">
      <c r="A1899" s="15" t="s">
        <v>42</v>
      </c>
      <c r="B1899" s="15"/>
      <c r="C1899" s="15"/>
      <c r="D1899" s="15"/>
      <c r="E1899" s="15"/>
      <c r="F1899" s="15"/>
      <c r="G1899" s="15"/>
    </row>
    <row r="1900" ht="22" customHeight="1" spans="1:7" x14ac:dyDescent="0.25">
      <c r="A1900" s="16" t="s">
        <v>18</v>
      </c>
      <c r="B1900" s="17" t="s">
        <v>43</v>
      </c>
      <c r="C1900" s="17" t="s">
        <v>467</v>
      </c>
      <c r="D1900" s="17" t="s">
        <v>23</v>
      </c>
      <c r="E1900" s="18">
        <v>40</v>
      </c>
      <c r="F1900" s="16" t="s">
        <v>27</v>
      </c>
      <c r="G1900" s="16" t="s">
        <v>23</v>
      </c>
    </row>
    <row r="1901" ht="20" customHeight="1" spans="1:7" x14ac:dyDescent="0.25">
      <c r="A1901" s="20" t="s">
        <v>24</v>
      </c>
      <c r="B1901" s="21" t="s">
        <v>25</v>
      </c>
      <c r="C1901" s="21" t="s">
        <v>26</v>
      </c>
      <c r="D1901" s="21" t="s">
        <v>27</v>
      </c>
      <c r="E1901" s="22" t="s">
        <v>23</v>
      </c>
      <c r="F1901" s="20" t="s">
        <v>27</v>
      </c>
      <c r="G1901" s="20" t="s">
        <v>27</v>
      </c>
    </row>
    <row r="1902" ht="22" customHeight="1" spans="1:7" x14ac:dyDescent="0.25">
      <c r="A1902" s="16" t="s">
        <v>28</v>
      </c>
      <c r="B1902" s="17" t="s">
        <v>43</v>
      </c>
      <c r="C1902" s="17" t="s">
        <v>467</v>
      </c>
      <c r="D1902" s="17" t="s">
        <v>23</v>
      </c>
      <c r="E1902" s="18">
        <v>40</v>
      </c>
      <c r="F1902" s="16" t="s">
        <v>27</v>
      </c>
      <c r="G1902" s="16" t="s">
        <v>23</v>
      </c>
    </row>
    <row r="1903" ht="20" customHeight="1" spans="1:7" x14ac:dyDescent="0.25">
      <c r="A1903" s="20" t="s">
        <v>30</v>
      </c>
      <c r="B1903" s="21" t="s">
        <v>25</v>
      </c>
      <c r="C1903" s="21" t="s">
        <v>26</v>
      </c>
      <c r="D1903" s="21" t="s">
        <v>27</v>
      </c>
      <c r="E1903" s="22" t="s">
        <v>23</v>
      </c>
      <c r="F1903" s="20" t="s">
        <v>27</v>
      </c>
      <c r="G1903" s="20" t="s">
        <v>27</v>
      </c>
    </row>
    <row r="1904" ht="22" customHeight="1" spans="1:7" x14ac:dyDescent="0.25">
      <c r="A1904" s="16" t="s">
        <v>31</v>
      </c>
      <c r="B1904" s="17" t="s">
        <v>47</v>
      </c>
      <c r="C1904" s="17" t="s">
        <v>780</v>
      </c>
      <c r="D1904" s="17" t="s">
        <v>49</v>
      </c>
      <c r="E1904" s="18">
        <v>31.8</v>
      </c>
      <c r="F1904" s="19" t="s">
        <v>22</v>
      </c>
      <c r="G1904" s="16" t="s">
        <v>23</v>
      </c>
    </row>
    <row r="1905" ht="20" customHeight="1" spans="1:7" x14ac:dyDescent="0.25">
      <c r="A1905" s="20" t="s">
        <v>35</v>
      </c>
      <c r="B1905" s="21" t="s">
        <v>25</v>
      </c>
      <c r="C1905" s="21" t="s">
        <v>26</v>
      </c>
      <c r="D1905" s="21" t="s">
        <v>27</v>
      </c>
      <c r="E1905" s="22" t="s">
        <v>23</v>
      </c>
      <c r="F1905" s="20" t="s">
        <v>27</v>
      </c>
      <c r="G1905" s="20" t="s">
        <v>27</v>
      </c>
    </row>
    <row r="1906" ht="22" customHeight="1" spans="1:7" x14ac:dyDescent="0.25">
      <c r="A1906" s="16" t="s">
        <v>36</v>
      </c>
      <c r="B1906" s="17" t="s">
        <v>47</v>
      </c>
      <c r="C1906" s="17" t="s">
        <v>781</v>
      </c>
      <c r="D1906" s="17" t="s">
        <v>49</v>
      </c>
      <c r="E1906" s="18">
        <v>21.2</v>
      </c>
      <c r="F1906" s="19" t="s">
        <v>22</v>
      </c>
      <c r="G1906" s="16" t="s">
        <v>23</v>
      </c>
    </row>
    <row r="1907" ht="24" customHeight="1" spans="1:7" x14ac:dyDescent="0.25">
      <c r="A1907" s="23" t="s">
        <v>38</v>
      </c>
      <c r="B1907" s="23" t="s">
        <v>39</v>
      </c>
      <c r="C1907" s="24" t="s">
        <v>40</v>
      </c>
      <c r="D1907" s="24" t="s">
        <v>41</v>
      </c>
      <c r="E1907" s="25">
        <f>SUM(E1900,E1902,E1904,E1906)</f>
        <v>133</v>
      </c>
      <c r="F1907" s="23" t="str">
        <f>ROUND(E1907/60, 1) &amp; " Saat"</f>
        <v>2.2 Saat</v>
      </c>
      <c r="G1907" s="23" t="str">
        <f>COUNTIF(G1900:G1906, "X") &amp; "/4"</f>
        <v>0/4</v>
      </c>
    </row>
    <row r="1908" ht="22" customHeight="1" spans="1:7" x14ac:dyDescent="0.25">
      <c r="A1908" s="15" t="s">
        <v>51</v>
      </c>
      <c r="B1908" s="15"/>
      <c r="C1908" s="15"/>
      <c r="D1908" s="15"/>
      <c r="E1908" s="15"/>
      <c r="F1908" s="15"/>
      <c r="G1908" s="15"/>
    </row>
    <row r="1909" ht="22" customHeight="1" spans="1:7" x14ac:dyDescent="0.25">
      <c r="A1909" s="16" t="s">
        <v>18</v>
      </c>
      <c r="B1909" s="17" t="s">
        <v>52</v>
      </c>
      <c r="C1909" s="17" t="s">
        <v>467</v>
      </c>
      <c r="D1909" s="17" t="s">
        <v>23</v>
      </c>
      <c r="E1909" s="18">
        <v>40</v>
      </c>
      <c r="F1909" s="16" t="s">
        <v>27</v>
      </c>
      <c r="G1909" s="16" t="s">
        <v>23</v>
      </c>
    </row>
    <row r="1910" ht="20" customHeight="1" spans="1:7" x14ac:dyDescent="0.25">
      <c r="A1910" s="20" t="s">
        <v>24</v>
      </c>
      <c r="B1910" s="21" t="s">
        <v>25</v>
      </c>
      <c r="C1910" s="21" t="s">
        <v>26</v>
      </c>
      <c r="D1910" s="21" t="s">
        <v>27</v>
      </c>
      <c r="E1910" s="22" t="s">
        <v>23</v>
      </c>
      <c r="F1910" s="20" t="s">
        <v>27</v>
      </c>
      <c r="G1910" s="20" t="s">
        <v>27</v>
      </c>
    </row>
    <row r="1911" ht="22" customHeight="1" spans="1:7" x14ac:dyDescent="0.25">
      <c r="A1911" s="16" t="s">
        <v>28</v>
      </c>
      <c r="B1911" s="17" t="s">
        <v>52</v>
      </c>
      <c r="C1911" s="17" t="s">
        <v>467</v>
      </c>
      <c r="D1911" s="17" t="s">
        <v>23</v>
      </c>
      <c r="E1911" s="18">
        <v>40</v>
      </c>
      <c r="F1911" s="16" t="s">
        <v>27</v>
      </c>
      <c r="G1911" s="16" t="s">
        <v>23</v>
      </c>
    </row>
    <row r="1912" ht="20" customHeight="1" spans="1:7" x14ac:dyDescent="0.25">
      <c r="A1912" s="20" t="s">
        <v>30</v>
      </c>
      <c r="B1912" s="21" t="s">
        <v>25</v>
      </c>
      <c r="C1912" s="21" t="s">
        <v>26</v>
      </c>
      <c r="D1912" s="21" t="s">
        <v>27</v>
      </c>
      <c r="E1912" s="22" t="s">
        <v>23</v>
      </c>
      <c r="F1912" s="20" t="s">
        <v>27</v>
      </c>
      <c r="G1912" s="20" t="s">
        <v>27</v>
      </c>
    </row>
    <row r="1913" ht="22" customHeight="1" spans="1:7" x14ac:dyDescent="0.25">
      <c r="A1913" s="16" t="s">
        <v>31</v>
      </c>
      <c r="B1913" s="17" t="s">
        <v>56</v>
      </c>
      <c r="C1913" s="17" t="s">
        <v>467</v>
      </c>
      <c r="D1913" s="17" t="s">
        <v>23</v>
      </c>
      <c r="E1913" s="18">
        <v>40</v>
      </c>
      <c r="F1913" s="16" t="s">
        <v>27</v>
      </c>
      <c r="G1913" s="16" t="s">
        <v>23</v>
      </c>
    </row>
    <row r="1914" ht="20" customHeight="1" spans="1:7" x14ac:dyDescent="0.25">
      <c r="A1914" s="20" t="s">
        <v>35</v>
      </c>
      <c r="B1914" s="21" t="s">
        <v>25</v>
      </c>
      <c r="C1914" s="21" t="s">
        <v>26</v>
      </c>
      <c r="D1914" s="21" t="s">
        <v>27</v>
      </c>
      <c r="E1914" s="22" t="s">
        <v>23</v>
      </c>
      <c r="F1914" s="20" t="s">
        <v>27</v>
      </c>
      <c r="G1914" s="20" t="s">
        <v>27</v>
      </c>
    </row>
    <row r="1915" ht="22" customHeight="1" spans="1:7" x14ac:dyDescent="0.25">
      <c r="A1915" s="16" t="s">
        <v>36</v>
      </c>
      <c r="B1915" s="17" t="s">
        <v>56</v>
      </c>
      <c r="C1915" s="17" t="s">
        <v>467</v>
      </c>
      <c r="D1915" s="17" t="s">
        <v>23</v>
      </c>
      <c r="E1915" s="18">
        <v>40</v>
      </c>
      <c r="F1915" s="16" t="s">
        <v>27</v>
      </c>
      <c r="G1915" s="16" t="s">
        <v>23</v>
      </c>
    </row>
    <row r="1916" ht="24" customHeight="1" spans="1:7" x14ac:dyDescent="0.25">
      <c r="A1916" s="23" t="s">
        <v>38</v>
      </c>
      <c r="B1916" s="23" t="s">
        <v>39</v>
      </c>
      <c r="C1916" s="24" t="s">
        <v>40</v>
      </c>
      <c r="D1916" s="24" t="s">
        <v>41</v>
      </c>
      <c r="E1916" s="25">
        <f>SUM(E1909,E1911,E1913,E1915)</f>
        <v>160</v>
      </c>
      <c r="F1916" s="23" t="str">
        <f>ROUND(E1916/60, 1) &amp; " Saat"</f>
        <v>2.7 Saat</v>
      </c>
      <c r="G1916" s="23" t="str">
        <f>COUNTIF(G1909:G1915, "X") &amp; "/4"</f>
        <v>0/4</v>
      </c>
    </row>
    <row r="1917" ht="22" customHeight="1" spans="1:7" x14ac:dyDescent="0.25">
      <c r="A1917" s="15" t="s">
        <v>60</v>
      </c>
      <c r="B1917" s="15"/>
      <c r="C1917" s="15"/>
      <c r="D1917" s="15"/>
      <c r="E1917" s="15"/>
      <c r="F1917" s="15"/>
      <c r="G1917" s="15"/>
    </row>
    <row r="1918" ht="22" customHeight="1" spans="1:7" x14ac:dyDescent="0.25">
      <c r="A1918" s="16" t="s">
        <v>18</v>
      </c>
      <c r="B1918" s="17" t="s">
        <v>43</v>
      </c>
      <c r="C1918" s="17" t="s">
        <v>467</v>
      </c>
      <c r="D1918" s="17" t="s">
        <v>23</v>
      </c>
      <c r="E1918" s="18">
        <v>40</v>
      </c>
      <c r="F1918" s="16" t="s">
        <v>27</v>
      </c>
      <c r="G1918" s="16" t="s">
        <v>23</v>
      </c>
    </row>
    <row r="1919" ht="20" customHeight="1" spans="1:7" x14ac:dyDescent="0.25">
      <c r="A1919" s="20" t="s">
        <v>24</v>
      </c>
      <c r="B1919" s="21" t="s">
        <v>25</v>
      </c>
      <c r="C1919" s="21" t="s">
        <v>26</v>
      </c>
      <c r="D1919" s="21" t="s">
        <v>27</v>
      </c>
      <c r="E1919" s="22" t="s">
        <v>23</v>
      </c>
      <c r="F1919" s="20" t="s">
        <v>27</v>
      </c>
      <c r="G1919" s="20" t="s">
        <v>27</v>
      </c>
    </row>
    <row r="1920" ht="22" customHeight="1" spans="1:7" x14ac:dyDescent="0.25">
      <c r="A1920" s="16" t="s">
        <v>28</v>
      </c>
      <c r="B1920" s="17" t="s">
        <v>43</v>
      </c>
      <c r="C1920" s="17" t="s">
        <v>467</v>
      </c>
      <c r="D1920" s="17" t="s">
        <v>23</v>
      </c>
      <c r="E1920" s="18">
        <v>40</v>
      </c>
      <c r="F1920" s="16" t="s">
        <v>27</v>
      </c>
      <c r="G1920" s="16" t="s">
        <v>23</v>
      </c>
    </row>
    <row r="1921" ht="20" customHeight="1" spans="1:7" x14ac:dyDescent="0.25">
      <c r="A1921" s="20" t="s">
        <v>30</v>
      </c>
      <c r="B1921" s="21" t="s">
        <v>25</v>
      </c>
      <c r="C1921" s="21" t="s">
        <v>26</v>
      </c>
      <c r="D1921" s="21" t="s">
        <v>27</v>
      </c>
      <c r="E1921" s="22" t="s">
        <v>23</v>
      </c>
      <c r="F1921" s="20" t="s">
        <v>27</v>
      </c>
      <c r="G1921" s="20" t="s">
        <v>27</v>
      </c>
    </row>
    <row r="1922" ht="22" customHeight="1" spans="1:7" x14ac:dyDescent="0.25">
      <c r="A1922" s="16" t="s">
        <v>31</v>
      </c>
      <c r="B1922" s="17" t="s">
        <v>63</v>
      </c>
      <c r="C1922" s="17" t="s">
        <v>782</v>
      </c>
      <c r="D1922" s="17" t="s">
        <v>65</v>
      </c>
      <c r="E1922" s="18">
        <v>26.2</v>
      </c>
      <c r="F1922" s="19" t="s">
        <v>22</v>
      </c>
      <c r="G1922" s="16" t="s">
        <v>23</v>
      </c>
    </row>
    <row r="1923" ht="20" customHeight="1" spans="1:7" x14ac:dyDescent="0.25">
      <c r="A1923" s="20" t="s">
        <v>35</v>
      </c>
      <c r="B1923" s="21" t="s">
        <v>25</v>
      </c>
      <c r="C1923" s="21" t="s">
        <v>26</v>
      </c>
      <c r="D1923" s="21" t="s">
        <v>27</v>
      </c>
      <c r="E1923" s="22" t="s">
        <v>23</v>
      </c>
      <c r="F1923" s="20" t="s">
        <v>27</v>
      </c>
      <c r="G1923" s="20" t="s">
        <v>27</v>
      </c>
    </row>
    <row r="1924" ht="22" customHeight="1" spans="1:7" x14ac:dyDescent="0.25">
      <c r="A1924" s="16" t="s">
        <v>36</v>
      </c>
      <c r="B1924" s="17" t="s">
        <v>63</v>
      </c>
      <c r="C1924" s="17" t="s">
        <v>783</v>
      </c>
      <c r="D1924" s="17" t="s">
        <v>65</v>
      </c>
      <c r="E1924" s="18">
        <v>25.9</v>
      </c>
      <c r="F1924" s="19" t="s">
        <v>22</v>
      </c>
      <c r="G1924" s="16" t="s">
        <v>23</v>
      </c>
    </row>
    <row r="1925" ht="24" customHeight="1" spans="1:7" x14ac:dyDescent="0.25">
      <c r="A1925" s="23" t="s">
        <v>38</v>
      </c>
      <c r="B1925" s="23" t="s">
        <v>39</v>
      </c>
      <c r="C1925" s="24" t="s">
        <v>40</v>
      </c>
      <c r="D1925" s="24" t="s">
        <v>41</v>
      </c>
      <c r="E1925" s="25">
        <f>SUM(E1918,E1920,E1922,E1924)</f>
        <v>132.1</v>
      </c>
      <c r="F1925" s="23" t="str">
        <f>ROUND(E1925/60, 1) &amp; " Saat"</f>
        <v>2.2 Saat</v>
      </c>
      <c r="G1925" s="23" t="str">
        <f>COUNTIF(G1918:G1924, "X") &amp; "/4"</f>
        <v>0/4</v>
      </c>
    </row>
    <row r="1926" ht="22" customHeight="1" spans="1:7" x14ac:dyDescent="0.25">
      <c r="A1926" s="15" t="s">
        <v>67</v>
      </c>
      <c r="B1926" s="15"/>
      <c r="C1926" s="15"/>
      <c r="D1926" s="15"/>
      <c r="E1926" s="15"/>
      <c r="F1926" s="15"/>
      <c r="G1926" s="15"/>
    </row>
    <row r="1927" ht="22" customHeight="1" spans="1:7" x14ac:dyDescent="0.25">
      <c r="A1927" s="16" t="s">
        <v>18</v>
      </c>
      <c r="B1927" s="17" t="s">
        <v>68</v>
      </c>
      <c r="C1927" s="17" t="s">
        <v>784</v>
      </c>
      <c r="D1927" s="17" t="s">
        <v>70</v>
      </c>
      <c r="E1927" s="18">
        <v>54</v>
      </c>
      <c r="F1927" s="19" t="s">
        <v>22</v>
      </c>
      <c r="G1927" s="16" t="s">
        <v>23</v>
      </c>
    </row>
    <row r="1928" ht="20" customHeight="1" spans="1:7" x14ac:dyDescent="0.25">
      <c r="A1928" s="20" t="s">
        <v>24</v>
      </c>
      <c r="B1928" s="21" t="s">
        <v>25</v>
      </c>
      <c r="C1928" s="21" t="s">
        <v>26</v>
      </c>
      <c r="D1928" s="21" t="s">
        <v>27</v>
      </c>
      <c r="E1928" s="22" t="s">
        <v>23</v>
      </c>
      <c r="F1928" s="20" t="s">
        <v>27</v>
      </c>
      <c r="G1928" s="20" t="s">
        <v>27</v>
      </c>
    </row>
    <row r="1929" ht="22" customHeight="1" spans="1:7" x14ac:dyDescent="0.25">
      <c r="A1929" s="16" t="s">
        <v>28</v>
      </c>
      <c r="B1929" s="17" t="s">
        <v>68</v>
      </c>
      <c r="C1929" s="17" t="s">
        <v>785</v>
      </c>
      <c r="D1929" s="17" t="s">
        <v>70</v>
      </c>
      <c r="E1929" s="18">
        <v>36.6</v>
      </c>
      <c r="F1929" s="19" t="s">
        <v>22</v>
      </c>
      <c r="G1929" s="16" t="s">
        <v>23</v>
      </c>
    </row>
    <row r="1930" ht="20" customHeight="1" spans="1:7" x14ac:dyDescent="0.25">
      <c r="A1930" s="20" t="s">
        <v>30</v>
      </c>
      <c r="B1930" s="21" t="s">
        <v>25</v>
      </c>
      <c r="C1930" s="21" t="s">
        <v>26</v>
      </c>
      <c r="D1930" s="21" t="s">
        <v>27</v>
      </c>
      <c r="E1930" s="22" t="s">
        <v>23</v>
      </c>
      <c r="F1930" s="20" t="s">
        <v>27</v>
      </c>
      <c r="G1930" s="20" t="s">
        <v>27</v>
      </c>
    </row>
    <row r="1931" ht="22" customHeight="1" spans="1:7" x14ac:dyDescent="0.25">
      <c r="A1931" s="16" t="s">
        <v>31</v>
      </c>
      <c r="B1931" s="17" t="s">
        <v>449</v>
      </c>
      <c r="C1931" s="17" t="s">
        <v>786</v>
      </c>
      <c r="D1931" s="17" t="s">
        <v>34</v>
      </c>
      <c r="E1931" s="18">
        <v>43.5</v>
      </c>
      <c r="F1931" s="19" t="s">
        <v>22</v>
      </c>
      <c r="G1931" s="16" t="s">
        <v>23</v>
      </c>
    </row>
    <row r="1932" ht="20" customHeight="1" spans="1:7" x14ac:dyDescent="0.25">
      <c r="A1932" s="20" t="s">
        <v>35</v>
      </c>
      <c r="B1932" s="21" t="s">
        <v>25</v>
      </c>
      <c r="C1932" s="21" t="s">
        <v>26</v>
      </c>
      <c r="D1932" s="21" t="s">
        <v>27</v>
      </c>
      <c r="E1932" s="22" t="s">
        <v>23</v>
      </c>
      <c r="F1932" s="20" t="s">
        <v>27</v>
      </c>
      <c r="G1932" s="20" t="s">
        <v>27</v>
      </c>
    </row>
    <row r="1933" ht="22" customHeight="1" spans="1:7" x14ac:dyDescent="0.25">
      <c r="A1933" s="16" t="s">
        <v>36</v>
      </c>
      <c r="B1933" s="17" t="s">
        <v>449</v>
      </c>
      <c r="C1933" s="17" t="s">
        <v>787</v>
      </c>
      <c r="D1933" s="17" t="s">
        <v>34</v>
      </c>
      <c r="E1933" s="18">
        <v>38</v>
      </c>
      <c r="F1933" s="19" t="s">
        <v>22</v>
      </c>
      <c r="G1933" s="16" t="s">
        <v>23</v>
      </c>
    </row>
    <row r="1934" ht="24" customHeight="1" spans="1:7" x14ac:dyDescent="0.25">
      <c r="A1934" s="23" t="s">
        <v>38</v>
      </c>
      <c r="B1934" s="23" t="s">
        <v>39</v>
      </c>
      <c r="C1934" s="24" t="s">
        <v>40</v>
      </c>
      <c r="D1934" s="24" t="s">
        <v>41</v>
      </c>
      <c r="E1934" s="25">
        <f>SUM(E1927,E1929,E1931,E1933)</f>
        <v>172.1</v>
      </c>
      <c r="F1934" s="23" t="str">
        <f>ROUND(E1934/60, 1) &amp; " Saat"</f>
        <v>2.9 Saat</v>
      </c>
      <c r="G1934" s="23" t="str">
        <f>COUNTIF(G1927:G1933, "X") &amp; "/4"</f>
        <v>0/4</v>
      </c>
    </row>
    <row r="1935" ht="22" customHeight="1" spans="1:7" x14ac:dyDescent="0.25">
      <c r="A1935" s="15" t="s">
        <v>74</v>
      </c>
      <c r="B1935" s="15"/>
      <c r="C1935" s="15"/>
      <c r="D1935" s="15"/>
      <c r="E1935" s="15"/>
      <c r="F1935" s="15"/>
      <c r="G1935" s="15"/>
    </row>
    <row r="1936" ht="22" customHeight="1" spans="1:7" x14ac:dyDescent="0.25">
      <c r="A1936" s="16" t="s">
        <v>18</v>
      </c>
      <c r="B1936" s="17" t="s">
        <v>47</v>
      </c>
      <c r="C1936" s="17" t="s">
        <v>788</v>
      </c>
      <c r="D1936" s="17" t="s">
        <v>49</v>
      </c>
      <c r="E1936" s="18">
        <v>23.7</v>
      </c>
      <c r="F1936" s="19" t="s">
        <v>22</v>
      </c>
      <c r="G1936" s="16" t="s">
        <v>23</v>
      </c>
    </row>
    <row r="1937" ht="20" customHeight="1" spans="1:7" x14ac:dyDescent="0.25">
      <c r="A1937" s="20" t="s">
        <v>24</v>
      </c>
      <c r="B1937" s="21" t="s">
        <v>25</v>
      </c>
      <c r="C1937" s="21" t="s">
        <v>26</v>
      </c>
      <c r="D1937" s="21" t="s">
        <v>27</v>
      </c>
      <c r="E1937" s="22" t="s">
        <v>23</v>
      </c>
      <c r="F1937" s="20" t="s">
        <v>27</v>
      </c>
      <c r="G1937" s="20" t="s">
        <v>27</v>
      </c>
    </row>
    <row r="1938" ht="22" customHeight="1" spans="1:7" x14ac:dyDescent="0.25">
      <c r="A1938" s="16" t="s">
        <v>28</v>
      </c>
      <c r="B1938" s="17" t="s">
        <v>47</v>
      </c>
      <c r="C1938" s="17" t="s">
        <v>789</v>
      </c>
      <c r="D1938" s="17" t="s">
        <v>49</v>
      </c>
      <c r="E1938" s="18">
        <v>42.6</v>
      </c>
      <c r="F1938" s="19" t="s">
        <v>22</v>
      </c>
      <c r="G1938" s="16" t="s">
        <v>23</v>
      </c>
    </row>
    <row r="1939" ht="20" customHeight="1" spans="1:7" x14ac:dyDescent="0.25">
      <c r="A1939" s="20" t="s">
        <v>30</v>
      </c>
      <c r="B1939" s="21" t="s">
        <v>25</v>
      </c>
      <c r="C1939" s="21" t="s">
        <v>26</v>
      </c>
      <c r="D1939" s="21" t="s">
        <v>27</v>
      </c>
      <c r="E1939" s="22" t="s">
        <v>23</v>
      </c>
      <c r="F1939" s="20" t="s">
        <v>27</v>
      </c>
      <c r="G1939" s="20" t="s">
        <v>27</v>
      </c>
    </row>
    <row r="1940" ht="22" customHeight="1" spans="1:7" x14ac:dyDescent="0.25">
      <c r="A1940" s="16" t="s">
        <v>31</v>
      </c>
      <c r="B1940" s="17" t="s">
        <v>568</v>
      </c>
      <c r="C1940" s="17" t="s">
        <v>467</v>
      </c>
      <c r="D1940" s="17" t="s">
        <v>23</v>
      </c>
      <c r="E1940" s="18">
        <v>40</v>
      </c>
      <c r="F1940" s="16" t="s">
        <v>27</v>
      </c>
      <c r="G1940" s="16" t="s">
        <v>23</v>
      </c>
    </row>
    <row r="1941" ht="20" customHeight="1" spans="1:7" x14ac:dyDescent="0.25">
      <c r="A1941" s="20" t="s">
        <v>35</v>
      </c>
      <c r="B1941" s="21" t="s">
        <v>25</v>
      </c>
      <c r="C1941" s="21" t="s">
        <v>26</v>
      </c>
      <c r="D1941" s="21" t="s">
        <v>27</v>
      </c>
      <c r="E1941" s="22" t="s">
        <v>23</v>
      </c>
      <c r="F1941" s="20" t="s">
        <v>27</v>
      </c>
      <c r="G1941" s="20" t="s">
        <v>27</v>
      </c>
    </row>
    <row r="1942" ht="22" customHeight="1" spans="1:7" x14ac:dyDescent="0.25">
      <c r="A1942" s="16" t="s">
        <v>36</v>
      </c>
      <c r="B1942" s="17" t="s">
        <v>568</v>
      </c>
      <c r="C1942" s="17" t="s">
        <v>467</v>
      </c>
      <c r="D1942" s="17" t="s">
        <v>23</v>
      </c>
      <c r="E1942" s="18">
        <v>40</v>
      </c>
      <c r="F1942" s="16" t="s">
        <v>27</v>
      </c>
      <c r="G1942" s="16" t="s">
        <v>23</v>
      </c>
    </row>
    <row r="1943" ht="24" customHeight="1" spans="1:7" x14ac:dyDescent="0.25">
      <c r="A1943" s="23" t="s">
        <v>38</v>
      </c>
      <c r="B1943" s="23" t="s">
        <v>39</v>
      </c>
      <c r="C1943" s="24" t="s">
        <v>40</v>
      </c>
      <c r="D1943" s="24" t="s">
        <v>41</v>
      </c>
      <c r="E1943" s="25">
        <f>SUM(E1936,E1938,E1940,E1942)</f>
        <v>146.3</v>
      </c>
      <c r="F1943" s="23" t="str">
        <f>ROUND(E1943/60, 1) &amp; " Saat"</f>
        <v>2.4 Saat</v>
      </c>
      <c r="G1943" s="23" t="str">
        <f>COUNTIF(G1936:G1942, "X") &amp; "/4"</f>
        <v>0/4</v>
      </c>
    </row>
    <row r="1944" ht="28" customHeight="1" spans="1:7" x14ac:dyDescent="0.25">
      <c r="A1944" s="26" t="s">
        <v>79</v>
      </c>
      <c r="B1944" s="26"/>
      <c r="C1944" s="26"/>
      <c r="D1944" s="26"/>
      <c r="E1944" s="26"/>
      <c r="F1944" s="26"/>
      <c r="G1944" s="26"/>
    </row>
    <row r="1945" ht="8" customHeight="1" x14ac:dyDescent="0.25"/>
    <row r="1946" ht="25" customHeight="1" spans="1:7" x14ac:dyDescent="0.25">
      <c r="A1946" s="14" t="s">
        <v>790</v>
      </c>
      <c r="B1946" s="14"/>
      <c r="C1946" s="14"/>
      <c r="D1946" s="14"/>
      <c r="E1946" s="14"/>
      <c r="F1946" s="14"/>
      <c r="G1946" s="14"/>
    </row>
    <row r="1947" ht="22" customHeight="1" spans="1:7" x14ac:dyDescent="0.25">
      <c r="A1947" s="15" t="s">
        <v>17</v>
      </c>
      <c r="B1947" s="15"/>
      <c r="C1947" s="15"/>
      <c r="D1947" s="15"/>
      <c r="E1947" s="15"/>
      <c r="F1947" s="15"/>
      <c r="G1947" s="15"/>
    </row>
    <row r="1948" ht="22" customHeight="1" spans="1:7" x14ac:dyDescent="0.25">
      <c r="A1948" s="16" t="s">
        <v>18</v>
      </c>
      <c r="B1948" s="17" t="s">
        <v>19</v>
      </c>
      <c r="C1948" s="17" t="s">
        <v>791</v>
      </c>
      <c r="D1948" s="17" t="s">
        <v>21</v>
      </c>
      <c r="E1948" s="18">
        <v>21.9</v>
      </c>
      <c r="F1948" s="19" t="s">
        <v>22</v>
      </c>
      <c r="G1948" s="16" t="s">
        <v>23</v>
      </c>
    </row>
    <row r="1949" ht="20" customHeight="1" spans="1:7" x14ac:dyDescent="0.25">
      <c r="A1949" s="20" t="s">
        <v>24</v>
      </c>
      <c r="B1949" s="21" t="s">
        <v>25</v>
      </c>
      <c r="C1949" s="21" t="s">
        <v>26</v>
      </c>
      <c r="D1949" s="21" t="s">
        <v>27</v>
      </c>
      <c r="E1949" s="22" t="s">
        <v>23</v>
      </c>
      <c r="F1949" s="20" t="s">
        <v>27</v>
      </c>
      <c r="G1949" s="20" t="s">
        <v>27</v>
      </c>
    </row>
    <row r="1950" ht="22" customHeight="1" spans="1:7" x14ac:dyDescent="0.25">
      <c r="A1950" s="16" t="s">
        <v>28</v>
      </c>
      <c r="B1950" s="17" t="s">
        <v>19</v>
      </c>
      <c r="C1950" s="17" t="s">
        <v>792</v>
      </c>
      <c r="D1950" s="17" t="s">
        <v>21</v>
      </c>
      <c r="E1950" s="18">
        <v>20.6</v>
      </c>
      <c r="F1950" s="19" t="s">
        <v>22</v>
      </c>
      <c r="G1950" s="16" t="s">
        <v>23</v>
      </c>
    </row>
    <row r="1951" ht="20" customHeight="1" spans="1:7" x14ac:dyDescent="0.25">
      <c r="A1951" s="20" t="s">
        <v>30</v>
      </c>
      <c r="B1951" s="21" t="s">
        <v>25</v>
      </c>
      <c r="C1951" s="21" t="s">
        <v>26</v>
      </c>
      <c r="D1951" s="21" t="s">
        <v>27</v>
      </c>
      <c r="E1951" s="22" t="s">
        <v>23</v>
      </c>
      <c r="F1951" s="20" t="s">
        <v>27</v>
      </c>
      <c r="G1951" s="20" t="s">
        <v>27</v>
      </c>
    </row>
    <row r="1952" ht="22" customHeight="1" spans="1:7" x14ac:dyDescent="0.25">
      <c r="A1952" s="16" t="s">
        <v>31</v>
      </c>
      <c r="B1952" s="17" t="s">
        <v>32</v>
      </c>
      <c r="C1952" s="17" t="s">
        <v>467</v>
      </c>
      <c r="D1952" s="17" t="s">
        <v>23</v>
      </c>
      <c r="E1952" s="18">
        <v>40</v>
      </c>
      <c r="F1952" s="16" t="s">
        <v>27</v>
      </c>
      <c r="G1952" s="16" t="s">
        <v>23</v>
      </c>
    </row>
    <row r="1953" ht="20" customHeight="1" spans="1:7" x14ac:dyDescent="0.25">
      <c r="A1953" s="20" t="s">
        <v>35</v>
      </c>
      <c r="B1953" s="21" t="s">
        <v>25</v>
      </c>
      <c r="C1953" s="21" t="s">
        <v>26</v>
      </c>
      <c r="D1953" s="21" t="s">
        <v>27</v>
      </c>
      <c r="E1953" s="22" t="s">
        <v>23</v>
      </c>
      <c r="F1953" s="20" t="s">
        <v>27</v>
      </c>
      <c r="G1953" s="20" t="s">
        <v>27</v>
      </c>
    </row>
    <row r="1954" ht="22" customHeight="1" spans="1:7" x14ac:dyDescent="0.25">
      <c r="A1954" s="16" t="s">
        <v>36</v>
      </c>
      <c r="B1954" s="17" t="s">
        <v>32</v>
      </c>
      <c r="C1954" s="17" t="s">
        <v>467</v>
      </c>
      <c r="D1954" s="17" t="s">
        <v>23</v>
      </c>
      <c r="E1954" s="18">
        <v>40</v>
      </c>
      <c r="F1954" s="16" t="s">
        <v>27</v>
      </c>
      <c r="G1954" s="16" t="s">
        <v>23</v>
      </c>
    </row>
    <row r="1955" ht="24" customHeight="1" spans="1:7" x14ac:dyDescent="0.25">
      <c r="A1955" s="23" t="s">
        <v>38</v>
      </c>
      <c r="B1955" s="23" t="s">
        <v>39</v>
      </c>
      <c r="C1955" s="24" t="s">
        <v>40</v>
      </c>
      <c r="D1955" s="24" t="s">
        <v>41</v>
      </c>
      <c r="E1955" s="25">
        <f>SUM(E1948,E1950,E1952,E1954)</f>
        <v>122.5</v>
      </c>
      <c r="F1955" s="23" t="str">
        <f>ROUND(E1955/60, 1) &amp; " Saat"</f>
        <v>2.0 Saat</v>
      </c>
      <c r="G1955" s="23" t="str">
        <f>COUNTIF(G1948:G1954, "X") &amp; "/4"</f>
        <v>0/4</v>
      </c>
    </row>
    <row r="1956" ht="22" customHeight="1" spans="1:7" x14ac:dyDescent="0.25">
      <c r="A1956" s="15" t="s">
        <v>42</v>
      </c>
      <c r="B1956" s="15"/>
      <c r="C1956" s="15"/>
      <c r="D1956" s="15"/>
      <c r="E1956" s="15"/>
      <c r="F1956" s="15"/>
      <c r="G1956" s="15"/>
    </row>
    <row r="1957" ht="22" customHeight="1" spans="1:7" x14ac:dyDescent="0.25">
      <c r="A1957" s="16" t="s">
        <v>18</v>
      </c>
      <c r="B1957" s="17" t="s">
        <v>43</v>
      </c>
      <c r="C1957" s="17" t="s">
        <v>467</v>
      </c>
      <c r="D1957" s="17" t="s">
        <v>23</v>
      </c>
      <c r="E1957" s="18">
        <v>40</v>
      </c>
      <c r="F1957" s="16" t="s">
        <v>27</v>
      </c>
      <c r="G1957" s="16" t="s">
        <v>23</v>
      </c>
    </row>
    <row r="1958" ht="20" customHeight="1" spans="1:7" x14ac:dyDescent="0.25">
      <c r="A1958" s="20" t="s">
        <v>24</v>
      </c>
      <c r="B1958" s="21" t="s">
        <v>25</v>
      </c>
      <c r="C1958" s="21" t="s">
        <v>26</v>
      </c>
      <c r="D1958" s="21" t="s">
        <v>27</v>
      </c>
      <c r="E1958" s="22" t="s">
        <v>23</v>
      </c>
      <c r="F1958" s="20" t="s">
        <v>27</v>
      </c>
      <c r="G1958" s="20" t="s">
        <v>27</v>
      </c>
    </row>
    <row r="1959" ht="22" customHeight="1" spans="1:7" x14ac:dyDescent="0.25">
      <c r="A1959" s="16" t="s">
        <v>28</v>
      </c>
      <c r="B1959" s="17" t="s">
        <v>43</v>
      </c>
      <c r="C1959" s="17" t="s">
        <v>467</v>
      </c>
      <c r="D1959" s="17" t="s">
        <v>23</v>
      </c>
      <c r="E1959" s="18">
        <v>40</v>
      </c>
      <c r="F1959" s="16" t="s">
        <v>27</v>
      </c>
      <c r="G1959" s="16" t="s">
        <v>23</v>
      </c>
    </row>
    <row r="1960" ht="20" customHeight="1" spans="1:7" x14ac:dyDescent="0.25">
      <c r="A1960" s="20" t="s">
        <v>30</v>
      </c>
      <c r="B1960" s="21" t="s">
        <v>25</v>
      </c>
      <c r="C1960" s="21" t="s">
        <v>26</v>
      </c>
      <c r="D1960" s="21" t="s">
        <v>27</v>
      </c>
      <c r="E1960" s="22" t="s">
        <v>23</v>
      </c>
      <c r="F1960" s="20" t="s">
        <v>27</v>
      </c>
      <c r="G1960" s="20" t="s">
        <v>27</v>
      </c>
    </row>
    <row r="1961" ht="22" customHeight="1" spans="1:7" x14ac:dyDescent="0.25">
      <c r="A1961" s="16" t="s">
        <v>31</v>
      </c>
      <c r="B1961" s="17" t="s">
        <v>47</v>
      </c>
      <c r="C1961" s="17" t="s">
        <v>793</v>
      </c>
      <c r="D1961" s="17" t="s">
        <v>49</v>
      </c>
      <c r="E1961" s="18">
        <v>52.5</v>
      </c>
      <c r="F1961" s="19" t="s">
        <v>22</v>
      </c>
      <c r="G1961" s="16" t="s">
        <v>23</v>
      </c>
    </row>
    <row r="1962" ht="20" customHeight="1" spans="1:7" x14ac:dyDescent="0.25">
      <c r="A1962" s="20" t="s">
        <v>35</v>
      </c>
      <c r="B1962" s="21" t="s">
        <v>25</v>
      </c>
      <c r="C1962" s="21" t="s">
        <v>26</v>
      </c>
      <c r="D1962" s="21" t="s">
        <v>27</v>
      </c>
      <c r="E1962" s="22" t="s">
        <v>23</v>
      </c>
      <c r="F1962" s="20" t="s">
        <v>27</v>
      </c>
      <c r="G1962" s="20" t="s">
        <v>27</v>
      </c>
    </row>
    <row r="1963" ht="22" customHeight="1" spans="1:7" x14ac:dyDescent="0.25">
      <c r="A1963" s="16" t="s">
        <v>36</v>
      </c>
      <c r="B1963" s="17" t="s">
        <v>47</v>
      </c>
      <c r="C1963" s="17" t="s">
        <v>794</v>
      </c>
      <c r="D1963" s="17" t="s">
        <v>49</v>
      </c>
      <c r="E1963" s="18">
        <v>22.6</v>
      </c>
      <c r="F1963" s="19" t="s">
        <v>22</v>
      </c>
      <c r="G1963" s="16" t="s">
        <v>23</v>
      </c>
    </row>
    <row r="1964" ht="24" customHeight="1" spans="1:7" x14ac:dyDescent="0.25">
      <c r="A1964" s="23" t="s">
        <v>38</v>
      </c>
      <c r="B1964" s="23" t="s">
        <v>39</v>
      </c>
      <c r="C1964" s="24" t="s">
        <v>40</v>
      </c>
      <c r="D1964" s="24" t="s">
        <v>41</v>
      </c>
      <c r="E1964" s="25">
        <f>SUM(E1957,E1959,E1961,E1963)</f>
        <v>155.1</v>
      </c>
      <c r="F1964" s="23" t="str">
        <f>ROUND(E1964/60, 1) &amp; " Saat"</f>
        <v>2.6 Saat</v>
      </c>
      <c r="G1964" s="23" t="str">
        <f>COUNTIF(G1957:G1963, "X") &amp; "/4"</f>
        <v>0/4</v>
      </c>
    </row>
    <row r="1965" ht="22" customHeight="1" spans="1:7" x14ac:dyDescent="0.25">
      <c r="A1965" s="15" t="s">
        <v>51</v>
      </c>
      <c r="B1965" s="15"/>
      <c r="C1965" s="15"/>
      <c r="D1965" s="15"/>
      <c r="E1965" s="15"/>
      <c r="F1965" s="15"/>
      <c r="G1965" s="15"/>
    </row>
    <row r="1966" ht="22" customHeight="1" spans="1:7" x14ac:dyDescent="0.25">
      <c r="A1966" s="16" t="s">
        <v>18</v>
      </c>
      <c r="B1966" s="17" t="s">
        <v>52</v>
      </c>
      <c r="C1966" s="17" t="s">
        <v>467</v>
      </c>
      <c r="D1966" s="17" t="s">
        <v>23</v>
      </c>
      <c r="E1966" s="18">
        <v>40</v>
      </c>
      <c r="F1966" s="16" t="s">
        <v>27</v>
      </c>
      <c r="G1966" s="16" t="s">
        <v>23</v>
      </c>
    </row>
    <row r="1967" ht="20" customHeight="1" spans="1:7" x14ac:dyDescent="0.25">
      <c r="A1967" s="20" t="s">
        <v>24</v>
      </c>
      <c r="B1967" s="21" t="s">
        <v>25</v>
      </c>
      <c r="C1967" s="21" t="s">
        <v>26</v>
      </c>
      <c r="D1967" s="21" t="s">
        <v>27</v>
      </c>
      <c r="E1967" s="22" t="s">
        <v>23</v>
      </c>
      <c r="F1967" s="20" t="s">
        <v>27</v>
      </c>
      <c r="G1967" s="20" t="s">
        <v>27</v>
      </c>
    </row>
    <row r="1968" ht="22" customHeight="1" spans="1:7" x14ac:dyDescent="0.25">
      <c r="A1968" s="16" t="s">
        <v>28</v>
      </c>
      <c r="B1968" s="17" t="s">
        <v>52</v>
      </c>
      <c r="C1968" s="17" t="s">
        <v>467</v>
      </c>
      <c r="D1968" s="17" t="s">
        <v>23</v>
      </c>
      <c r="E1968" s="18">
        <v>40</v>
      </c>
      <c r="F1968" s="16" t="s">
        <v>27</v>
      </c>
      <c r="G1968" s="16" t="s">
        <v>23</v>
      </c>
    </row>
    <row r="1969" ht="20" customHeight="1" spans="1:7" x14ac:dyDescent="0.25">
      <c r="A1969" s="20" t="s">
        <v>30</v>
      </c>
      <c r="B1969" s="21" t="s">
        <v>25</v>
      </c>
      <c r="C1969" s="21" t="s">
        <v>26</v>
      </c>
      <c r="D1969" s="21" t="s">
        <v>27</v>
      </c>
      <c r="E1969" s="22" t="s">
        <v>23</v>
      </c>
      <c r="F1969" s="20" t="s">
        <v>27</v>
      </c>
      <c r="G1969" s="20" t="s">
        <v>27</v>
      </c>
    </row>
    <row r="1970" ht="22" customHeight="1" spans="1:7" x14ac:dyDescent="0.25">
      <c r="A1970" s="16" t="s">
        <v>31</v>
      </c>
      <c r="B1970" s="17" t="s">
        <v>56</v>
      </c>
      <c r="C1970" s="17" t="s">
        <v>467</v>
      </c>
      <c r="D1970" s="17" t="s">
        <v>23</v>
      </c>
      <c r="E1970" s="18">
        <v>40</v>
      </c>
      <c r="F1970" s="16" t="s">
        <v>27</v>
      </c>
      <c r="G1970" s="16" t="s">
        <v>23</v>
      </c>
    </row>
    <row r="1971" ht="20" customHeight="1" spans="1:7" x14ac:dyDescent="0.25">
      <c r="A1971" s="20" t="s">
        <v>35</v>
      </c>
      <c r="B1971" s="21" t="s">
        <v>25</v>
      </c>
      <c r="C1971" s="21" t="s">
        <v>26</v>
      </c>
      <c r="D1971" s="21" t="s">
        <v>27</v>
      </c>
      <c r="E1971" s="22" t="s">
        <v>23</v>
      </c>
      <c r="F1971" s="20" t="s">
        <v>27</v>
      </c>
      <c r="G1971" s="20" t="s">
        <v>27</v>
      </c>
    </row>
    <row r="1972" ht="22" customHeight="1" spans="1:7" x14ac:dyDescent="0.25">
      <c r="A1972" s="16" t="s">
        <v>36</v>
      </c>
      <c r="B1972" s="17" t="s">
        <v>56</v>
      </c>
      <c r="C1972" s="17" t="s">
        <v>467</v>
      </c>
      <c r="D1972" s="17" t="s">
        <v>23</v>
      </c>
      <c r="E1972" s="18">
        <v>40</v>
      </c>
      <c r="F1972" s="16" t="s">
        <v>27</v>
      </c>
      <c r="G1972" s="16" t="s">
        <v>23</v>
      </c>
    </row>
    <row r="1973" ht="24" customHeight="1" spans="1:7" x14ac:dyDescent="0.25">
      <c r="A1973" s="23" t="s">
        <v>38</v>
      </c>
      <c r="B1973" s="23" t="s">
        <v>39</v>
      </c>
      <c r="C1973" s="24" t="s">
        <v>40</v>
      </c>
      <c r="D1973" s="24" t="s">
        <v>41</v>
      </c>
      <c r="E1973" s="25">
        <f>SUM(E1966,E1968,E1970,E1972)</f>
        <v>160</v>
      </c>
      <c r="F1973" s="23" t="str">
        <f>ROUND(E1973/60, 1) &amp; " Saat"</f>
        <v>2.7 Saat</v>
      </c>
      <c r="G1973" s="23" t="str">
        <f>COUNTIF(G1966:G1972, "X") &amp; "/4"</f>
        <v>0/4</v>
      </c>
    </row>
    <row r="1974" ht="22" customHeight="1" spans="1:7" x14ac:dyDescent="0.25">
      <c r="A1974" s="15" t="s">
        <v>60</v>
      </c>
      <c r="B1974" s="15"/>
      <c r="C1974" s="15"/>
      <c r="D1974" s="15"/>
      <c r="E1974" s="15"/>
      <c r="F1974" s="15"/>
      <c r="G1974" s="15"/>
    </row>
    <row r="1975" ht="22" customHeight="1" spans="1:7" x14ac:dyDescent="0.25">
      <c r="A1975" s="16" t="s">
        <v>18</v>
      </c>
      <c r="B1975" s="17" t="s">
        <v>43</v>
      </c>
      <c r="C1975" s="17" t="s">
        <v>467</v>
      </c>
      <c r="D1975" s="17" t="s">
        <v>23</v>
      </c>
      <c r="E1975" s="18">
        <v>40</v>
      </c>
      <c r="F1975" s="16" t="s">
        <v>27</v>
      </c>
      <c r="G1975" s="16" t="s">
        <v>23</v>
      </c>
    </row>
    <row r="1976" ht="20" customHeight="1" spans="1:7" x14ac:dyDescent="0.25">
      <c r="A1976" s="20" t="s">
        <v>24</v>
      </c>
      <c r="B1976" s="21" t="s">
        <v>25</v>
      </c>
      <c r="C1976" s="21" t="s">
        <v>26</v>
      </c>
      <c r="D1976" s="21" t="s">
        <v>27</v>
      </c>
      <c r="E1976" s="22" t="s">
        <v>23</v>
      </c>
      <c r="F1976" s="20" t="s">
        <v>27</v>
      </c>
      <c r="G1976" s="20" t="s">
        <v>27</v>
      </c>
    </row>
    <row r="1977" ht="22" customHeight="1" spans="1:7" x14ac:dyDescent="0.25">
      <c r="A1977" s="16" t="s">
        <v>28</v>
      </c>
      <c r="B1977" s="17" t="s">
        <v>43</v>
      </c>
      <c r="C1977" s="17" t="s">
        <v>467</v>
      </c>
      <c r="D1977" s="17" t="s">
        <v>23</v>
      </c>
      <c r="E1977" s="18">
        <v>40</v>
      </c>
      <c r="F1977" s="16" t="s">
        <v>27</v>
      </c>
      <c r="G1977" s="16" t="s">
        <v>23</v>
      </c>
    </row>
    <row r="1978" ht="20" customHeight="1" spans="1:7" x14ac:dyDescent="0.25">
      <c r="A1978" s="20" t="s">
        <v>30</v>
      </c>
      <c r="B1978" s="21" t="s">
        <v>25</v>
      </c>
      <c r="C1978" s="21" t="s">
        <v>26</v>
      </c>
      <c r="D1978" s="21" t="s">
        <v>27</v>
      </c>
      <c r="E1978" s="22" t="s">
        <v>23</v>
      </c>
      <c r="F1978" s="20" t="s">
        <v>27</v>
      </c>
      <c r="G1978" s="20" t="s">
        <v>27</v>
      </c>
    </row>
    <row r="1979" ht="22" customHeight="1" spans="1:7" x14ac:dyDescent="0.25">
      <c r="A1979" s="16" t="s">
        <v>31</v>
      </c>
      <c r="B1979" s="17" t="s">
        <v>63</v>
      </c>
      <c r="C1979" s="17" t="s">
        <v>795</v>
      </c>
      <c r="D1979" s="17" t="s">
        <v>65</v>
      </c>
      <c r="E1979" s="18">
        <v>29.8</v>
      </c>
      <c r="F1979" s="19" t="s">
        <v>22</v>
      </c>
      <c r="G1979" s="16" t="s">
        <v>23</v>
      </c>
    </row>
    <row r="1980" ht="20" customHeight="1" spans="1:7" x14ac:dyDescent="0.25">
      <c r="A1980" s="20" t="s">
        <v>35</v>
      </c>
      <c r="B1980" s="21" t="s">
        <v>25</v>
      </c>
      <c r="C1980" s="21" t="s">
        <v>26</v>
      </c>
      <c r="D1980" s="21" t="s">
        <v>27</v>
      </c>
      <c r="E1980" s="22" t="s">
        <v>23</v>
      </c>
      <c r="F1980" s="20" t="s">
        <v>27</v>
      </c>
      <c r="G1980" s="20" t="s">
        <v>27</v>
      </c>
    </row>
    <row r="1981" ht="22" customHeight="1" spans="1:7" x14ac:dyDescent="0.25">
      <c r="A1981" s="16" t="s">
        <v>36</v>
      </c>
      <c r="B1981" s="17" t="s">
        <v>63</v>
      </c>
      <c r="C1981" s="17" t="s">
        <v>796</v>
      </c>
      <c r="D1981" s="17" t="s">
        <v>65</v>
      </c>
      <c r="E1981" s="18">
        <v>12.8</v>
      </c>
      <c r="F1981" s="19" t="s">
        <v>22</v>
      </c>
      <c r="G1981" s="16" t="s">
        <v>23</v>
      </c>
    </row>
    <row r="1982" ht="24" customHeight="1" spans="1:7" x14ac:dyDescent="0.25">
      <c r="A1982" s="23" t="s">
        <v>38</v>
      </c>
      <c r="B1982" s="23" t="s">
        <v>39</v>
      </c>
      <c r="C1982" s="24" t="s">
        <v>40</v>
      </c>
      <c r="D1982" s="24" t="s">
        <v>41</v>
      </c>
      <c r="E1982" s="25">
        <f>SUM(E1975,E1977,E1979,E1981)</f>
        <v>122.6</v>
      </c>
      <c r="F1982" s="23" t="str">
        <f>ROUND(E1982/60, 1) &amp; " Saat"</f>
        <v>2.0 Saat</v>
      </c>
      <c r="G1982" s="23" t="str">
        <f>COUNTIF(G1975:G1981, "X") &amp; "/4"</f>
        <v>0/4</v>
      </c>
    </row>
    <row r="1983" ht="22" customHeight="1" spans="1:7" x14ac:dyDescent="0.25">
      <c r="A1983" s="15" t="s">
        <v>67</v>
      </c>
      <c r="B1983" s="15"/>
      <c r="C1983" s="15"/>
      <c r="D1983" s="15"/>
      <c r="E1983" s="15"/>
      <c r="F1983" s="15"/>
      <c r="G1983" s="15"/>
    </row>
    <row r="1984" ht="22" customHeight="1" spans="1:7" x14ac:dyDescent="0.25">
      <c r="A1984" s="16" t="s">
        <v>18</v>
      </c>
      <c r="B1984" s="17" t="s">
        <v>68</v>
      </c>
      <c r="C1984" s="17" t="s">
        <v>797</v>
      </c>
      <c r="D1984" s="17" t="s">
        <v>70</v>
      </c>
      <c r="E1984" s="18">
        <v>50.3</v>
      </c>
      <c r="F1984" s="19" t="s">
        <v>22</v>
      </c>
      <c r="G1984" s="16" t="s">
        <v>23</v>
      </c>
    </row>
    <row r="1985" ht="20" customHeight="1" spans="1:7" x14ac:dyDescent="0.25">
      <c r="A1985" s="20" t="s">
        <v>24</v>
      </c>
      <c r="B1985" s="21" t="s">
        <v>25</v>
      </c>
      <c r="C1985" s="21" t="s">
        <v>26</v>
      </c>
      <c r="D1985" s="21" t="s">
        <v>27</v>
      </c>
      <c r="E1985" s="22" t="s">
        <v>23</v>
      </c>
      <c r="F1985" s="20" t="s">
        <v>27</v>
      </c>
      <c r="G1985" s="20" t="s">
        <v>27</v>
      </c>
    </row>
    <row r="1986" ht="22" customHeight="1" spans="1:7" x14ac:dyDescent="0.25">
      <c r="A1986" s="16" t="s">
        <v>28</v>
      </c>
      <c r="B1986" s="17" t="s">
        <v>68</v>
      </c>
      <c r="C1986" s="17" t="s">
        <v>798</v>
      </c>
      <c r="D1986" s="17" t="s">
        <v>70</v>
      </c>
      <c r="E1986" s="18">
        <v>31</v>
      </c>
      <c r="F1986" s="19" t="s">
        <v>22</v>
      </c>
      <c r="G1986" s="16" t="s">
        <v>23</v>
      </c>
    </row>
    <row r="1987" ht="20" customHeight="1" spans="1:7" x14ac:dyDescent="0.25">
      <c r="A1987" s="20" t="s">
        <v>30</v>
      </c>
      <c r="B1987" s="21" t="s">
        <v>25</v>
      </c>
      <c r="C1987" s="21" t="s">
        <v>26</v>
      </c>
      <c r="D1987" s="21" t="s">
        <v>27</v>
      </c>
      <c r="E1987" s="22" t="s">
        <v>23</v>
      </c>
      <c r="F1987" s="20" t="s">
        <v>27</v>
      </c>
      <c r="G1987" s="20" t="s">
        <v>27</v>
      </c>
    </row>
    <row r="1988" ht="22" customHeight="1" spans="1:7" x14ac:dyDescent="0.25">
      <c r="A1988" s="16" t="s">
        <v>31</v>
      </c>
      <c r="B1988" s="17" t="s">
        <v>449</v>
      </c>
      <c r="C1988" s="17" t="s">
        <v>799</v>
      </c>
      <c r="D1988" s="17" t="s">
        <v>34</v>
      </c>
      <c r="E1988" s="18">
        <v>24.8</v>
      </c>
      <c r="F1988" s="19" t="s">
        <v>22</v>
      </c>
      <c r="G1988" s="16" t="s">
        <v>23</v>
      </c>
    </row>
    <row r="1989" ht="20" customHeight="1" spans="1:7" x14ac:dyDescent="0.25">
      <c r="A1989" s="20" t="s">
        <v>35</v>
      </c>
      <c r="B1989" s="21" t="s">
        <v>25</v>
      </c>
      <c r="C1989" s="21" t="s">
        <v>26</v>
      </c>
      <c r="D1989" s="21" t="s">
        <v>27</v>
      </c>
      <c r="E1989" s="22" t="s">
        <v>23</v>
      </c>
      <c r="F1989" s="20" t="s">
        <v>27</v>
      </c>
      <c r="G1989" s="20" t="s">
        <v>27</v>
      </c>
    </row>
    <row r="1990" ht="22" customHeight="1" spans="1:7" x14ac:dyDescent="0.25">
      <c r="A1990" s="16" t="s">
        <v>36</v>
      </c>
      <c r="B1990" s="17" t="s">
        <v>449</v>
      </c>
      <c r="C1990" s="17" t="s">
        <v>800</v>
      </c>
      <c r="D1990" s="17" t="s">
        <v>34</v>
      </c>
      <c r="E1990" s="18">
        <v>36.1</v>
      </c>
      <c r="F1990" s="19" t="s">
        <v>22</v>
      </c>
      <c r="G1990" s="16" t="s">
        <v>23</v>
      </c>
    </row>
    <row r="1991" ht="24" customHeight="1" spans="1:7" x14ac:dyDescent="0.25">
      <c r="A1991" s="23" t="s">
        <v>38</v>
      </c>
      <c r="B1991" s="23" t="s">
        <v>39</v>
      </c>
      <c r="C1991" s="24" t="s">
        <v>40</v>
      </c>
      <c r="D1991" s="24" t="s">
        <v>41</v>
      </c>
      <c r="E1991" s="25">
        <f>SUM(E1984,E1986,E1988,E1990)</f>
        <v>142.2</v>
      </c>
      <c r="F1991" s="23" t="str">
        <f>ROUND(E1991/60, 1) &amp; " Saat"</f>
        <v>2.4 Saat</v>
      </c>
      <c r="G1991" s="23" t="str">
        <f>COUNTIF(G1984:G1990, "X") &amp; "/4"</f>
        <v>0/4</v>
      </c>
    </row>
    <row r="1992" ht="22" customHeight="1" spans="1:7" x14ac:dyDescent="0.25">
      <c r="A1992" s="15" t="s">
        <v>74</v>
      </c>
      <c r="B1992" s="15"/>
      <c r="C1992" s="15"/>
      <c r="D1992" s="15"/>
      <c r="E1992" s="15"/>
      <c r="F1992" s="15"/>
      <c r="G1992" s="15"/>
    </row>
    <row r="1993" ht="22" customHeight="1" spans="1:7" x14ac:dyDescent="0.25">
      <c r="A1993" s="16" t="s">
        <v>18</v>
      </c>
      <c r="B1993" s="17" t="s">
        <v>47</v>
      </c>
      <c r="C1993" s="17" t="s">
        <v>801</v>
      </c>
      <c r="D1993" s="17" t="s">
        <v>49</v>
      </c>
      <c r="E1993" s="18">
        <v>35.4</v>
      </c>
      <c r="F1993" s="19" t="s">
        <v>22</v>
      </c>
      <c r="G1993" s="16" t="s">
        <v>23</v>
      </c>
    </row>
    <row r="1994" ht="20" customHeight="1" spans="1:7" x14ac:dyDescent="0.25">
      <c r="A1994" s="20" t="s">
        <v>24</v>
      </c>
      <c r="B1994" s="21" t="s">
        <v>25</v>
      </c>
      <c r="C1994" s="21" t="s">
        <v>26</v>
      </c>
      <c r="D1994" s="21" t="s">
        <v>27</v>
      </c>
      <c r="E1994" s="22" t="s">
        <v>23</v>
      </c>
      <c r="F1994" s="20" t="s">
        <v>27</v>
      </c>
      <c r="G1994" s="20" t="s">
        <v>27</v>
      </c>
    </row>
    <row r="1995" ht="22" customHeight="1" spans="1:7" x14ac:dyDescent="0.25">
      <c r="A1995" s="16" t="s">
        <v>28</v>
      </c>
      <c r="B1995" s="17" t="s">
        <v>47</v>
      </c>
      <c r="C1995" s="17" t="s">
        <v>802</v>
      </c>
      <c r="D1995" s="17" t="s">
        <v>49</v>
      </c>
      <c r="E1995" s="18">
        <v>39</v>
      </c>
      <c r="F1995" s="19" t="s">
        <v>22</v>
      </c>
      <c r="G1995" s="16" t="s">
        <v>23</v>
      </c>
    </row>
    <row r="1996" ht="20" customHeight="1" spans="1:7" x14ac:dyDescent="0.25">
      <c r="A1996" s="20" t="s">
        <v>30</v>
      </c>
      <c r="B1996" s="21" t="s">
        <v>25</v>
      </c>
      <c r="C1996" s="21" t="s">
        <v>26</v>
      </c>
      <c r="D1996" s="21" t="s">
        <v>27</v>
      </c>
      <c r="E1996" s="22" t="s">
        <v>23</v>
      </c>
      <c r="F1996" s="20" t="s">
        <v>27</v>
      </c>
      <c r="G1996" s="20" t="s">
        <v>27</v>
      </c>
    </row>
    <row r="1997" ht="22" customHeight="1" spans="1:7" x14ac:dyDescent="0.25">
      <c r="A1997" s="16" t="s">
        <v>31</v>
      </c>
      <c r="B1997" s="17" t="s">
        <v>568</v>
      </c>
      <c r="C1997" s="17" t="s">
        <v>467</v>
      </c>
      <c r="D1997" s="17" t="s">
        <v>23</v>
      </c>
      <c r="E1997" s="18">
        <v>40</v>
      </c>
      <c r="F1997" s="16" t="s">
        <v>27</v>
      </c>
      <c r="G1997" s="16" t="s">
        <v>23</v>
      </c>
    </row>
    <row r="1998" ht="20" customHeight="1" spans="1:7" x14ac:dyDescent="0.25">
      <c r="A1998" s="20" t="s">
        <v>35</v>
      </c>
      <c r="B1998" s="21" t="s">
        <v>25</v>
      </c>
      <c r="C1998" s="21" t="s">
        <v>26</v>
      </c>
      <c r="D1998" s="21" t="s">
        <v>27</v>
      </c>
      <c r="E1998" s="22" t="s">
        <v>23</v>
      </c>
      <c r="F1998" s="20" t="s">
        <v>27</v>
      </c>
      <c r="G1998" s="20" t="s">
        <v>27</v>
      </c>
    </row>
    <row r="1999" ht="22" customHeight="1" spans="1:7" x14ac:dyDescent="0.25">
      <c r="A1999" s="16" t="s">
        <v>36</v>
      </c>
      <c r="B1999" s="17" t="s">
        <v>568</v>
      </c>
      <c r="C1999" s="17" t="s">
        <v>467</v>
      </c>
      <c r="D1999" s="17" t="s">
        <v>23</v>
      </c>
      <c r="E1999" s="18">
        <v>40</v>
      </c>
      <c r="F1999" s="16" t="s">
        <v>27</v>
      </c>
      <c r="G1999" s="16" t="s">
        <v>23</v>
      </c>
    </row>
    <row r="2000" ht="24" customHeight="1" spans="1:7" x14ac:dyDescent="0.25">
      <c r="A2000" s="23" t="s">
        <v>38</v>
      </c>
      <c r="B2000" s="23" t="s">
        <v>39</v>
      </c>
      <c r="C2000" s="24" t="s">
        <v>40</v>
      </c>
      <c r="D2000" s="24" t="s">
        <v>41</v>
      </c>
      <c r="E2000" s="25">
        <f>SUM(E1993,E1995,E1997,E1999)</f>
        <v>154.4</v>
      </c>
      <c r="F2000" s="23" t="str">
        <f>ROUND(E2000/60, 1) &amp; " Saat"</f>
        <v>2.6 Saat</v>
      </c>
      <c r="G2000" s="23" t="str">
        <f>COUNTIF(G1993:G1999, "X") &amp; "/4"</f>
        <v>0/4</v>
      </c>
    </row>
    <row r="2001" ht="28" customHeight="1" spans="1:7" x14ac:dyDescent="0.25">
      <c r="A2001" s="26" t="s">
        <v>79</v>
      </c>
      <c r="B2001" s="26"/>
      <c r="C2001" s="26"/>
      <c r="D2001" s="26"/>
      <c r="E2001" s="26"/>
      <c r="F2001" s="26"/>
      <c r="G2001" s="26"/>
    </row>
    <row r="2002" ht="8" customHeight="1" x14ac:dyDescent="0.25"/>
    <row r="2003" ht="25" customHeight="1" spans="1:7" x14ac:dyDescent="0.25">
      <c r="A2003" s="14" t="s">
        <v>803</v>
      </c>
      <c r="B2003" s="14"/>
      <c r="C2003" s="14"/>
      <c r="D2003" s="14"/>
      <c r="E2003" s="14"/>
      <c r="F2003" s="14"/>
      <c r="G2003" s="14"/>
    </row>
    <row r="2004" ht="22" customHeight="1" spans="1:7" x14ac:dyDescent="0.25">
      <c r="A2004" s="15" t="s">
        <v>17</v>
      </c>
      <c r="B2004" s="15"/>
      <c r="C2004" s="15"/>
      <c r="D2004" s="15"/>
      <c r="E2004" s="15"/>
      <c r="F2004" s="15"/>
      <c r="G2004" s="15"/>
    </row>
    <row r="2005" ht="22" customHeight="1" spans="1:7" x14ac:dyDescent="0.25">
      <c r="A2005" s="16" t="s">
        <v>18</v>
      </c>
      <c r="B2005" s="17" t="s">
        <v>19</v>
      </c>
      <c r="C2005" s="17" t="s">
        <v>804</v>
      </c>
      <c r="D2005" s="17" t="s">
        <v>21</v>
      </c>
      <c r="E2005" s="18">
        <v>13</v>
      </c>
      <c r="F2005" s="19" t="s">
        <v>22</v>
      </c>
      <c r="G2005" s="16" t="s">
        <v>23</v>
      </c>
    </row>
    <row r="2006" ht="20" customHeight="1" spans="1:7" x14ac:dyDescent="0.25">
      <c r="A2006" s="20" t="s">
        <v>24</v>
      </c>
      <c r="B2006" s="21" t="s">
        <v>25</v>
      </c>
      <c r="C2006" s="21" t="s">
        <v>26</v>
      </c>
      <c r="D2006" s="21" t="s">
        <v>27</v>
      </c>
      <c r="E2006" s="22" t="s">
        <v>23</v>
      </c>
      <c r="F2006" s="20" t="s">
        <v>27</v>
      </c>
      <c r="G2006" s="20" t="s">
        <v>27</v>
      </c>
    </row>
    <row r="2007" ht="22" customHeight="1" spans="1:7" x14ac:dyDescent="0.25">
      <c r="A2007" s="16" t="s">
        <v>28</v>
      </c>
      <c r="B2007" s="17" t="s">
        <v>19</v>
      </c>
      <c r="C2007" s="17" t="s">
        <v>467</v>
      </c>
      <c r="D2007" s="17" t="s">
        <v>23</v>
      </c>
      <c r="E2007" s="18">
        <v>40</v>
      </c>
      <c r="F2007" s="16" t="s">
        <v>27</v>
      </c>
      <c r="G2007" s="16" t="s">
        <v>23</v>
      </c>
    </row>
    <row r="2008" ht="20" customHeight="1" spans="1:7" x14ac:dyDescent="0.25">
      <c r="A2008" s="20" t="s">
        <v>30</v>
      </c>
      <c r="B2008" s="21" t="s">
        <v>25</v>
      </c>
      <c r="C2008" s="21" t="s">
        <v>26</v>
      </c>
      <c r="D2008" s="21" t="s">
        <v>27</v>
      </c>
      <c r="E2008" s="22" t="s">
        <v>23</v>
      </c>
      <c r="F2008" s="20" t="s">
        <v>27</v>
      </c>
      <c r="G2008" s="20" t="s">
        <v>27</v>
      </c>
    </row>
    <row r="2009" ht="22" customHeight="1" spans="1:7" x14ac:dyDescent="0.25">
      <c r="A2009" s="16" t="s">
        <v>31</v>
      </c>
      <c r="B2009" s="17" t="s">
        <v>32</v>
      </c>
      <c r="C2009" s="17" t="s">
        <v>467</v>
      </c>
      <c r="D2009" s="17" t="s">
        <v>23</v>
      </c>
      <c r="E2009" s="18">
        <v>40</v>
      </c>
      <c r="F2009" s="16" t="s">
        <v>27</v>
      </c>
      <c r="G2009" s="16" t="s">
        <v>23</v>
      </c>
    </row>
    <row r="2010" ht="20" customHeight="1" spans="1:7" x14ac:dyDescent="0.25">
      <c r="A2010" s="20" t="s">
        <v>35</v>
      </c>
      <c r="B2010" s="21" t="s">
        <v>25</v>
      </c>
      <c r="C2010" s="21" t="s">
        <v>26</v>
      </c>
      <c r="D2010" s="21" t="s">
        <v>27</v>
      </c>
      <c r="E2010" s="22" t="s">
        <v>23</v>
      </c>
      <c r="F2010" s="20" t="s">
        <v>27</v>
      </c>
      <c r="G2010" s="20" t="s">
        <v>27</v>
      </c>
    </row>
    <row r="2011" ht="22" customHeight="1" spans="1:7" x14ac:dyDescent="0.25">
      <c r="A2011" s="16" t="s">
        <v>36</v>
      </c>
      <c r="B2011" s="17" t="s">
        <v>32</v>
      </c>
      <c r="C2011" s="17" t="s">
        <v>467</v>
      </c>
      <c r="D2011" s="17" t="s">
        <v>23</v>
      </c>
      <c r="E2011" s="18">
        <v>40</v>
      </c>
      <c r="F2011" s="16" t="s">
        <v>27</v>
      </c>
      <c r="G2011" s="16" t="s">
        <v>23</v>
      </c>
    </row>
    <row r="2012" ht="24" customHeight="1" spans="1:7" x14ac:dyDescent="0.25">
      <c r="A2012" s="23" t="s">
        <v>38</v>
      </c>
      <c r="B2012" s="23" t="s">
        <v>39</v>
      </c>
      <c r="C2012" s="24" t="s">
        <v>40</v>
      </c>
      <c r="D2012" s="24" t="s">
        <v>41</v>
      </c>
      <c r="E2012" s="25">
        <f>SUM(E2005,E2007,E2009,E2011)</f>
        <v>133</v>
      </c>
      <c r="F2012" s="23" t="str">
        <f>ROUND(E2012/60, 1) &amp; " Saat"</f>
        <v>2.2 Saat</v>
      </c>
      <c r="G2012" s="23" t="str">
        <f>COUNTIF(G2005:G2011, "X") &amp; "/4"</f>
        <v>0/4</v>
      </c>
    </row>
    <row r="2013" ht="22" customHeight="1" spans="1:7" x14ac:dyDescent="0.25">
      <c r="A2013" s="15" t="s">
        <v>42</v>
      </c>
      <c r="B2013" s="15"/>
      <c r="C2013" s="15"/>
      <c r="D2013" s="15"/>
      <c r="E2013" s="15"/>
      <c r="F2013" s="15"/>
      <c r="G2013" s="15"/>
    </row>
    <row r="2014" ht="22" customHeight="1" spans="1:7" x14ac:dyDescent="0.25">
      <c r="A2014" s="16" t="s">
        <v>18</v>
      </c>
      <c r="B2014" s="17" t="s">
        <v>43</v>
      </c>
      <c r="C2014" s="17" t="s">
        <v>467</v>
      </c>
      <c r="D2014" s="17" t="s">
        <v>23</v>
      </c>
      <c r="E2014" s="18">
        <v>40</v>
      </c>
      <c r="F2014" s="16" t="s">
        <v>27</v>
      </c>
      <c r="G2014" s="16" t="s">
        <v>23</v>
      </c>
    </row>
    <row r="2015" ht="20" customHeight="1" spans="1:7" x14ac:dyDescent="0.25">
      <c r="A2015" s="20" t="s">
        <v>24</v>
      </c>
      <c r="B2015" s="21" t="s">
        <v>25</v>
      </c>
      <c r="C2015" s="21" t="s">
        <v>26</v>
      </c>
      <c r="D2015" s="21" t="s">
        <v>27</v>
      </c>
      <c r="E2015" s="22" t="s">
        <v>23</v>
      </c>
      <c r="F2015" s="20" t="s">
        <v>27</v>
      </c>
      <c r="G2015" s="20" t="s">
        <v>27</v>
      </c>
    </row>
    <row r="2016" ht="22" customHeight="1" spans="1:7" x14ac:dyDescent="0.25">
      <c r="A2016" s="16" t="s">
        <v>28</v>
      </c>
      <c r="B2016" s="17" t="s">
        <v>43</v>
      </c>
      <c r="C2016" s="17" t="s">
        <v>467</v>
      </c>
      <c r="D2016" s="17" t="s">
        <v>23</v>
      </c>
      <c r="E2016" s="18">
        <v>40</v>
      </c>
      <c r="F2016" s="16" t="s">
        <v>27</v>
      </c>
      <c r="G2016" s="16" t="s">
        <v>23</v>
      </c>
    </row>
    <row r="2017" ht="20" customHeight="1" spans="1:7" x14ac:dyDescent="0.25">
      <c r="A2017" s="20" t="s">
        <v>30</v>
      </c>
      <c r="B2017" s="21" t="s">
        <v>25</v>
      </c>
      <c r="C2017" s="21" t="s">
        <v>26</v>
      </c>
      <c r="D2017" s="21" t="s">
        <v>27</v>
      </c>
      <c r="E2017" s="22" t="s">
        <v>23</v>
      </c>
      <c r="F2017" s="20" t="s">
        <v>27</v>
      </c>
      <c r="G2017" s="20" t="s">
        <v>27</v>
      </c>
    </row>
    <row r="2018" ht="22" customHeight="1" spans="1:7" x14ac:dyDescent="0.25">
      <c r="A2018" s="16" t="s">
        <v>31</v>
      </c>
      <c r="B2018" s="17" t="s">
        <v>47</v>
      </c>
      <c r="C2018" s="17" t="s">
        <v>805</v>
      </c>
      <c r="D2018" s="17" t="s">
        <v>49</v>
      </c>
      <c r="E2018" s="18">
        <v>22.9</v>
      </c>
      <c r="F2018" s="19" t="s">
        <v>22</v>
      </c>
      <c r="G2018" s="16" t="s">
        <v>23</v>
      </c>
    </row>
    <row r="2019" ht="20" customHeight="1" spans="1:7" x14ac:dyDescent="0.25">
      <c r="A2019" s="20" t="s">
        <v>35</v>
      </c>
      <c r="B2019" s="21" t="s">
        <v>25</v>
      </c>
      <c r="C2019" s="21" t="s">
        <v>26</v>
      </c>
      <c r="D2019" s="21" t="s">
        <v>27</v>
      </c>
      <c r="E2019" s="22" t="s">
        <v>23</v>
      </c>
      <c r="F2019" s="20" t="s">
        <v>27</v>
      </c>
      <c r="G2019" s="20" t="s">
        <v>27</v>
      </c>
    </row>
    <row r="2020" ht="22" customHeight="1" spans="1:7" x14ac:dyDescent="0.25">
      <c r="A2020" s="16" t="s">
        <v>36</v>
      </c>
      <c r="B2020" s="17" t="s">
        <v>47</v>
      </c>
      <c r="C2020" s="17" t="s">
        <v>806</v>
      </c>
      <c r="D2020" s="17" t="s">
        <v>49</v>
      </c>
      <c r="E2020" s="18">
        <v>39.9</v>
      </c>
      <c r="F2020" s="19" t="s">
        <v>22</v>
      </c>
      <c r="G2020" s="16" t="s">
        <v>23</v>
      </c>
    </row>
    <row r="2021" ht="24" customHeight="1" spans="1:7" x14ac:dyDescent="0.25">
      <c r="A2021" s="23" t="s">
        <v>38</v>
      </c>
      <c r="B2021" s="23" t="s">
        <v>39</v>
      </c>
      <c r="C2021" s="24" t="s">
        <v>40</v>
      </c>
      <c r="D2021" s="24" t="s">
        <v>41</v>
      </c>
      <c r="E2021" s="25">
        <f>SUM(E2014,E2016,E2018,E2020)</f>
        <v>142.8</v>
      </c>
      <c r="F2021" s="23" t="str">
        <f>ROUND(E2021/60, 1) &amp; " Saat"</f>
        <v>2.4 Saat</v>
      </c>
      <c r="G2021" s="23" t="str">
        <f>COUNTIF(G2014:G2020, "X") &amp; "/4"</f>
        <v>0/4</v>
      </c>
    </row>
    <row r="2022" ht="22" customHeight="1" spans="1:7" x14ac:dyDescent="0.25">
      <c r="A2022" s="15" t="s">
        <v>51</v>
      </c>
      <c r="B2022" s="15"/>
      <c r="C2022" s="15"/>
      <c r="D2022" s="15"/>
      <c r="E2022" s="15"/>
      <c r="F2022" s="15"/>
      <c r="G2022" s="15"/>
    </row>
    <row r="2023" ht="22" customHeight="1" spans="1:7" x14ac:dyDescent="0.25">
      <c r="A2023" s="16" t="s">
        <v>18</v>
      </c>
      <c r="B2023" s="17" t="s">
        <v>52</v>
      </c>
      <c r="C2023" s="17" t="s">
        <v>467</v>
      </c>
      <c r="D2023" s="17" t="s">
        <v>23</v>
      </c>
      <c r="E2023" s="18">
        <v>40</v>
      </c>
      <c r="F2023" s="16" t="s">
        <v>27</v>
      </c>
      <c r="G2023" s="16" t="s">
        <v>23</v>
      </c>
    </row>
    <row r="2024" ht="20" customHeight="1" spans="1:7" x14ac:dyDescent="0.25">
      <c r="A2024" s="20" t="s">
        <v>24</v>
      </c>
      <c r="B2024" s="21" t="s">
        <v>25</v>
      </c>
      <c r="C2024" s="21" t="s">
        <v>26</v>
      </c>
      <c r="D2024" s="21" t="s">
        <v>27</v>
      </c>
      <c r="E2024" s="22" t="s">
        <v>23</v>
      </c>
      <c r="F2024" s="20" t="s">
        <v>27</v>
      </c>
      <c r="G2024" s="20" t="s">
        <v>27</v>
      </c>
    </row>
    <row r="2025" ht="22" customHeight="1" spans="1:7" x14ac:dyDescent="0.25">
      <c r="A2025" s="16" t="s">
        <v>28</v>
      </c>
      <c r="B2025" s="17" t="s">
        <v>52</v>
      </c>
      <c r="C2025" s="17" t="s">
        <v>467</v>
      </c>
      <c r="D2025" s="17" t="s">
        <v>23</v>
      </c>
      <c r="E2025" s="18">
        <v>40</v>
      </c>
      <c r="F2025" s="16" t="s">
        <v>27</v>
      </c>
      <c r="G2025" s="16" t="s">
        <v>23</v>
      </c>
    </row>
    <row r="2026" ht="20" customHeight="1" spans="1:7" x14ac:dyDescent="0.25">
      <c r="A2026" s="20" t="s">
        <v>30</v>
      </c>
      <c r="B2026" s="21" t="s">
        <v>25</v>
      </c>
      <c r="C2026" s="21" t="s">
        <v>26</v>
      </c>
      <c r="D2026" s="21" t="s">
        <v>27</v>
      </c>
      <c r="E2026" s="22" t="s">
        <v>23</v>
      </c>
      <c r="F2026" s="20" t="s">
        <v>27</v>
      </c>
      <c r="G2026" s="20" t="s">
        <v>27</v>
      </c>
    </row>
    <row r="2027" ht="22" customHeight="1" spans="1:7" x14ac:dyDescent="0.25">
      <c r="A2027" s="16" t="s">
        <v>31</v>
      </c>
      <c r="B2027" s="17" t="s">
        <v>56</v>
      </c>
      <c r="C2027" s="17" t="s">
        <v>467</v>
      </c>
      <c r="D2027" s="17" t="s">
        <v>23</v>
      </c>
      <c r="E2027" s="18">
        <v>40</v>
      </c>
      <c r="F2027" s="16" t="s">
        <v>27</v>
      </c>
      <c r="G2027" s="16" t="s">
        <v>23</v>
      </c>
    </row>
    <row r="2028" ht="20" customHeight="1" spans="1:7" x14ac:dyDescent="0.25">
      <c r="A2028" s="20" t="s">
        <v>35</v>
      </c>
      <c r="B2028" s="21" t="s">
        <v>25</v>
      </c>
      <c r="C2028" s="21" t="s">
        <v>26</v>
      </c>
      <c r="D2028" s="21" t="s">
        <v>27</v>
      </c>
      <c r="E2028" s="22" t="s">
        <v>23</v>
      </c>
      <c r="F2028" s="20" t="s">
        <v>27</v>
      </c>
      <c r="G2028" s="20" t="s">
        <v>27</v>
      </c>
    </row>
    <row r="2029" ht="22" customHeight="1" spans="1:7" x14ac:dyDescent="0.25">
      <c r="A2029" s="16" t="s">
        <v>36</v>
      </c>
      <c r="B2029" s="17" t="s">
        <v>56</v>
      </c>
      <c r="C2029" s="17" t="s">
        <v>467</v>
      </c>
      <c r="D2029" s="17" t="s">
        <v>23</v>
      </c>
      <c r="E2029" s="18">
        <v>40</v>
      </c>
      <c r="F2029" s="16" t="s">
        <v>27</v>
      </c>
      <c r="G2029" s="16" t="s">
        <v>23</v>
      </c>
    </row>
    <row r="2030" ht="24" customHeight="1" spans="1:7" x14ac:dyDescent="0.25">
      <c r="A2030" s="23" t="s">
        <v>38</v>
      </c>
      <c r="B2030" s="23" t="s">
        <v>39</v>
      </c>
      <c r="C2030" s="24" t="s">
        <v>40</v>
      </c>
      <c r="D2030" s="24" t="s">
        <v>41</v>
      </c>
      <c r="E2030" s="25">
        <f>SUM(E2023,E2025,E2027,E2029)</f>
        <v>160</v>
      </c>
      <c r="F2030" s="23" t="str">
        <f>ROUND(E2030/60, 1) &amp; " Saat"</f>
        <v>2.7 Saat</v>
      </c>
      <c r="G2030" s="23" t="str">
        <f>COUNTIF(G2023:G2029, "X") &amp; "/4"</f>
        <v>0/4</v>
      </c>
    </row>
    <row r="2031" ht="22" customHeight="1" spans="1:7" x14ac:dyDescent="0.25">
      <c r="A2031" s="15" t="s">
        <v>60</v>
      </c>
      <c r="B2031" s="15"/>
      <c r="C2031" s="15"/>
      <c r="D2031" s="15"/>
      <c r="E2031" s="15"/>
      <c r="F2031" s="15"/>
      <c r="G2031" s="15"/>
    </row>
    <row r="2032" ht="22" customHeight="1" spans="1:7" x14ac:dyDescent="0.25">
      <c r="A2032" s="16" t="s">
        <v>18</v>
      </c>
      <c r="B2032" s="17" t="s">
        <v>43</v>
      </c>
      <c r="C2032" s="17" t="s">
        <v>467</v>
      </c>
      <c r="D2032" s="17" t="s">
        <v>23</v>
      </c>
      <c r="E2032" s="18">
        <v>40</v>
      </c>
      <c r="F2032" s="16" t="s">
        <v>27</v>
      </c>
      <c r="G2032" s="16" t="s">
        <v>23</v>
      </c>
    </row>
    <row r="2033" ht="20" customHeight="1" spans="1:7" x14ac:dyDescent="0.25">
      <c r="A2033" s="20" t="s">
        <v>24</v>
      </c>
      <c r="B2033" s="21" t="s">
        <v>25</v>
      </c>
      <c r="C2033" s="21" t="s">
        <v>26</v>
      </c>
      <c r="D2033" s="21" t="s">
        <v>27</v>
      </c>
      <c r="E2033" s="22" t="s">
        <v>23</v>
      </c>
      <c r="F2033" s="20" t="s">
        <v>27</v>
      </c>
      <c r="G2033" s="20" t="s">
        <v>27</v>
      </c>
    </row>
    <row r="2034" ht="22" customHeight="1" spans="1:7" x14ac:dyDescent="0.25">
      <c r="A2034" s="16" t="s">
        <v>28</v>
      </c>
      <c r="B2034" s="17" t="s">
        <v>43</v>
      </c>
      <c r="C2034" s="17" t="s">
        <v>467</v>
      </c>
      <c r="D2034" s="17" t="s">
        <v>23</v>
      </c>
      <c r="E2034" s="18">
        <v>40</v>
      </c>
      <c r="F2034" s="16" t="s">
        <v>27</v>
      </c>
      <c r="G2034" s="16" t="s">
        <v>23</v>
      </c>
    </row>
    <row r="2035" ht="20" customHeight="1" spans="1:7" x14ac:dyDescent="0.25">
      <c r="A2035" s="20" t="s">
        <v>30</v>
      </c>
      <c r="B2035" s="21" t="s">
        <v>25</v>
      </c>
      <c r="C2035" s="21" t="s">
        <v>26</v>
      </c>
      <c r="D2035" s="21" t="s">
        <v>27</v>
      </c>
      <c r="E2035" s="22" t="s">
        <v>23</v>
      </c>
      <c r="F2035" s="20" t="s">
        <v>27</v>
      </c>
      <c r="G2035" s="20" t="s">
        <v>27</v>
      </c>
    </row>
    <row r="2036" ht="22" customHeight="1" spans="1:7" x14ac:dyDescent="0.25">
      <c r="A2036" s="16" t="s">
        <v>31</v>
      </c>
      <c r="B2036" s="17" t="s">
        <v>63</v>
      </c>
      <c r="C2036" s="17" t="s">
        <v>807</v>
      </c>
      <c r="D2036" s="17" t="s">
        <v>65</v>
      </c>
      <c r="E2036" s="18">
        <v>7.8</v>
      </c>
      <c r="F2036" s="19" t="s">
        <v>22</v>
      </c>
      <c r="G2036" s="16" t="s">
        <v>23</v>
      </c>
    </row>
    <row r="2037" ht="20" customHeight="1" spans="1:7" x14ac:dyDescent="0.25">
      <c r="A2037" s="20" t="s">
        <v>35</v>
      </c>
      <c r="B2037" s="21" t="s">
        <v>25</v>
      </c>
      <c r="C2037" s="21" t="s">
        <v>26</v>
      </c>
      <c r="D2037" s="21" t="s">
        <v>27</v>
      </c>
      <c r="E2037" s="22" t="s">
        <v>23</v>
      </c>
      <c r="F2037" s="20" t="s">
        <v>27</v>
      </c>
      <c r="G2037" s="20" t="s">
        <v>27</v>
      </c>
    </row>
    <row r="2038" ht="22" customHeight="1" spans="1:7" x14ac:dyDescent="0.25">
      <c r="A2038" s="16" t="s">
        <v>36</v>
      </c>
      <c r="B2038" s="17" t="s">
        <v>63</v>
      </c>
      <c r="C2038" s="17" t="s">
        <v>808</v>
      </c>
      <c r="D2038" s="17" t="s">
        <v>65</v>
      </c>
      <c r="E2038" s="18">
        <v>17.8</v>
      </c>
      <c r="F2038" s="19" t="s">
        <v>22</v>
      </c>
      <c r="G2038" s="16" t="s">
        <v>23</v>
      </c>
    </row>
    <row r="2039" ht="24" customHeight="1" spans="1:7" x14ac:dyDescent="0.25">
      <c r="A2039" s="23" t="s">
        <v>38</v>
      </c>
      <c r="B2039" s="23" t="s">
        <v>39</v>
      </c>
      <c r="C2039" s="24" t="s">
        <v>40</v>
      </c>
      <c r="D2039" s="24" t="s">
        <v>41</v>
      </c>
      <c r="E2039" s="25">
        <f>SUM(E2032,E2034,E2036,E2038)</f>
        <v>105.6</v>
      </c>
      <c r="F2039" s="23" t="str">
        <f>ROUND(E2039/60, 1) &amp; " Saat"</f>
        <v>1.8 Saat</v>
      </c>
      <c r="G2039" s="23" t="str">
        <f>COUNTIF(G2032:G2038, "X") &amp; "/4"</f>
        <v>0/4</v>
      </c>
    </row>
    <row r="2040" ht="22" customHeight="1" spans="1:7" x14ac:dyDescent="0.25">
      <c r="A2040" s="15" t="s">
        <v>67</v>
      </c>
      <c r="B2040" s="15"/>
      <c r="C2040" s="15"/>
      <c r="D2040" s="15"/>
      <c r="E2040" s="15"/>
      <c r="F2040" s="15"/>
      <c r="G2040" s="15"/>
    </row>
    <row r="2041" ht="22" customHeight="1" spans="1:7" x14ac:dyDescent="0.25">
      <c r="A2041" s="16" t="s">
        <v>18</v>
      </c>
      <c r="B2041" s="17" t="s">
        <v>68</v>
      </c>
      <c r="C2041" s="17" t="s">
        <v>809</v>
      </c>
      <c r="D2041" s="17" t="s">
        <v>70</v>
      </c>
      <c r="E2041" s="18">
        <v>46.1</v>
      </c>
      <c r="F2041" s="19" t="s">
        <v>22</v>
      </c>
      <c r="G2041" s="16" t="s">
        <v>23</v>
      </c>
    </row>
    <row r="2042" ht="20" customHeight="1" spans="1:7" x14ac:dyDescent="0.25">
      <c r="A2042" s="20" t="s">
        <v>24</v>
      </c>
      <c r="B2042" s="21" t="s">
        <v>25</v>
      </c>
      <c r="C2042" s="21" t="s">
        <v>26</v>
      </c>
      <c r="D2042" s="21" t="s">
        <v>27</v>
      </c>
      <c r="E2042" s="22" t="s">
        <v>23</v>
      </c>
      <c r="F2042" s="20" t="s">
        <v>27</v>
      </c>
      <c r="G2042" s="20" t="s">
        <v>27</v>
      </c>
    </row>
    <row r="2043" ht="22" customHeight="1" spans="1:7" x14ac:dyDescent="0.25">
      <c r="A2043" s="16" t="s">
        <v>28</v>
      </c>
      <c r="B2043" s="17" t="s">
        <v>68</v>
      </c>
      <c r="C2043" s="17" t="s">
        <v>810</v>
      </c>
      <c r="D2043" s="17" t="s">
        <v>70</v>
      </c>
      <c r="E2043" s="18">
        <v>54.1</v>
      </c>
      <c r="F2043" s="19" t="s">
        <v>22</v>
      </c>
      <c r="G2043" s="16" t="s">
        <v>23</v>
      </c>
    </row>
    <row r="2044" ht="20" customHeight="1" spans="1:7" x14ac:dyDescent="0.25">
      <c r="A2044" s="20" t="s">
        <v>30</v>
      </c>
      <c r="B2044" s="21" t="s">
        <v>25</v>
      </c>
      <c r="C2044" s="21" t="s">
        <v>26</v>
      </c>
      <c r="D2044" s="21" t="s">
        <v>27</v>
      </c>
      <c r="E2044" s="22" t="s">
        <v>23</v>
      </c>
      <c r="F2044" s="20" t="s">
        <v>27</v>
      </c>
      <c r="G2044" s="20" t="s">
        <v>27</v>
      </c>
    </row>
    <row r="2045" ht="22" customHeight="1" spans="1:7" x14ac:dyDescent="0.25">
      <c r="A2045" s="16" t="s">
        <v>31</v>
      </c>
      <c r="B2045" s="17" t="s">
        <v>449</v>
      </c>
      <c r="C2045" s="17" t="s">
        <v>811</v>
      </c>
      <c r="D2045" s="17" t="s">
        <v>34</v>
      </c>
      <c r="E2045" s="18">
        <v>35.4</v>
      </c>
      <c r="F2045" s="19" t="s">
        <v>22</v>
      </c>
      <c r="G2045" s="16" t="s">
        <v>23</v>
      </c>
    </row>
    <row r="2046" ht="20" customHeight="1" spans="1:7" x14ac:dyDescent="0.25">
      <c r="A2046" s="20" t="s">
        <v>35</v>
      </c>
      <c r="B2046" s="21" t="s">
        <v>25</v>
      </c>
      <c r="C2046" s="21" t="s">
        <v>26</v>
      </c>
      <c r="D2046" s="21" t="s">
        <v>27</v>
      </c>
      <c r="E2046" s="22" t="s">
        <v>23</v>
      </c>
      <c r="F2046" s="20" t="s">
        <v>27</v>
      </c>
      <c r="G2046" s="20" t="s">
        <v>27</v>
      </c>
    </row>
    <row r="2047" ht="22" customHeight="1" spans="1:7" x14ac:dyDescent="0.25">
      <c r="A2047" s="16" t="s">
        <v>36</v>
      </c>
      <c r="B2047" s="17" t="s">
        <v>449</v>
      </c>
      <c r="C2047" s="17" t="s">
        <v>812</v>
      </c>
      <c r="D2047" s="17" t="s">
        <v>34</v>
      </c>
      <c r="E2047" s="18">
        <v>36.7</v>
      </c>
      <c r="F2047" s="19" t="s">
        <v>22</v>
      </c>
      <c r="G2047" s="16" t="s">
        <v>23</v>
      </c>
    </row>
    <row r="2048" ht="24" customHeight="1" spans="1:7" x14ac:dyDescent="0.25">
      <c r="A2048" s="23" t="s">
        <v>38</v>
      </c>
      <c r="B2048" s="23" t="s">
        <v>39</v>
      </c>
      <c r="C2048" s="24" t="s">
        <v>40</v>
      </c>
      <c r="D2048" s="24" t="s">
        <v>41</v>
      </c>
      <c r="E2048" s="25">
        <f>SUM(E2041,E2043,E2045,E2047)</f>
        <v>172.3</v>
      </c>
      <c r="F2048" s="23" t="str">
        <f>ROUND(E2048/60, 1) &amp; " Saat"</f>
        <v>2.9 Saat</v>
      </c>
      <c r="G2048" s="23" t="str">
        <f>COUNTIF(G2041:G2047, "X") &amp; "/4"</f>
        <v>0/4</v>
      </c>
    </row>
    <row r="2049" ht="22" customHeight="1" spans="1:7" x14ac:dyDescent="0.25">
      <c r="A2049" s="15" t="s">
        <v>74</v>
      </c>
      <c r="B2049" s="15"/>
      <c r="C2049" s="15"/>
      <c r="D2049" s="15"/>
      <c r="E2049" s="15"/>
      <c r="F2049" s="15"/>
      <c r="G2049" s="15"/>
    </row>
    <row r="2050" ht="22" customHeight="1" spans="1:7" x14ac:dyDescent="0.25">
      <c r="A2050" s="16" t="s">
        <v>18</v>
      </c>
      <c r="B2050" s="17" t="s">
        <v>47</v>
      </c>
      <c r="C2050" s="17" t="s">
        <v>813</v>
      </c>
      <c r="D2050" s="17" t="s">
        <v>49</v>
      </c>
      <c r="E2050" s="18">
        <v>33.5</v>
      </c>
      <c r="F2050" s="19" t="s">
        <v>22</v>
      </c>
      <c r="G2050" s="16" t="s">
        <v>23</v>
      </c>
    </row>
    <row r="2051" ht="20" customHeight="1" spans="1:7" x14ac:dyDescent="0.25">
      <c r="A2051" s="20" t="s">
        <v>24</v>
      </c>
      <c r="B2051" s="21" t="s">
        <v>25</v>
      </c>
      <c r="C2051" s="21" t="s">
        <v>26</v>
      </c>
      <c r="D2051" s="21" t="s">
        <v>27</v>
      </c>
      <c r="E2051" s="22" t="s">
        <v>23</v>
      </c>
      <c r="F2051" s="20" t="s">
        <v>27</v>
      </c>
      <c r="G2051" s="20" t="s">
        <v>27</v>
      </c>
    </row>
    <row r="2052" ht="22" customHeight="1" spans="1:7" x14ac:dyDescent="0.25">
      <c r="A2052" s="16" t="s">
        <v>28</v>
      </c>
      <c r="B2052" s="17" t="s">
        <v>47</v>
      </c>
      <c r="C2052" s="17" t="s">
        <v>814</v>
      </c>
      <c r="D2052" s="17" t="s">
        <v>49</v>
      </c>
      <c r="E2052" s="18">
        <v>22.4</v>
      </c>
      <c r="F2052" s="19" t="s">
        <v>22</v>
      </c>
      <c r="G2052" s="16" t="s">
        <v>23</v>
      </c>
    </row>
    <row r="2053" ht="20" customHeight="1" spans="1:7" x14ac:dyDescent="0.25">
      <c r="A2053" s="20" t="s">
        <v>30</v>
      </c>
      <c r="B2053" s="21" t="s">
        <v>25</v>
      </c>
      <c r="C2053" s="21" t="s">
        <v>26</v>
      </c>
      <c r="D2053" s="21" t="s">
        <v>27</v>
      </c>
      <c r="E2053" s="22" t="s">
        <v>23</v>
      </c>
      <c r="F2053" s="20" t="s">
        <v>27</v>
      </c>
      <c r="G2053" s="20" t="s">
        <v>27</v>
      </c>
    </row>
    <row r="2054" ht="22" customHeight="1" spans="1:7" x14ac:dyDescent="0.25">
      <c r="A2054" s="16" t="s">
        <v>31</v>
      </c>
      <c r="B2054" s="17" t="s">
        <v>568</v>
      </c>
      <c r="C2054" s="17" t="s">
        <v>467</v>
      </c>
      <c r="D2054" s="17" t="s">
        <v>23</v>
      </c>
      <c r="E2054" s="18">
        <v>40</v>
      </c>
      <c r="F2054" s="16" t="s">
        <v>27</v>
      </c>
      <c r="G2054" s="16" t="s">
        <v>23</v>
      </c>
    </row>
    <row r="2055" ht="20" customHeight="1" spans="1:7" x14ac:dyDescent="0.25">
      <c r="A2055" s="20" t="s">
        <v>35</v>
      </c>
      <c r="B2055" s="21" t="s">
        <v>25</v>
      </c>
      <c r="C2055" s="21" t="s">
        <v>26</v>
      </c>
      <c r="D2055" s="21" t="s">
        <v>27</v>
      </c>
      <c r="E2055" s="22" t="s">
        <v>23</v>
      </c>
      <c r="F2055" s="20" t="s">
        <v>27</v>
      </c>
      <c r="G2055" s="20" t="s">
        <v>27</v>
      </c>
    </row>
    <row r="2056" ht="22" customHeight="1" spans="1:7" x14ac:dyDescent="0.25">
      <c r="A2056" s="16" t="s">
        <v>36</v>
      </c>
      <c r="B2056" s="17" t="s">
        <v>568</v>
      </c>
      <c r="C2056" s="17" t="s">
        <v>467</v>
      </c>
      <c r="D2056" s="17" t="s">
        <v>23</v>
      </c>
      <c r="E2056" s="18">
        <v>40</v>
      </c>
      <c r="F2056" s="16" t="s">
        <v>27</v>
      </c>
      <c r="G2056" s="16" t="s">
        <v>23</v>
      </c>
    </row>
    <row r="2057" ht="24" customHeight="1" spans="1:7" x14ac:dyDescent="0.25">
      <c r="A2057" s="23" t="s">
        <v>38</v>
      </c>
      <c r="B2057" s="23" t="s">
        <v>39</v>
      </c>
      <c r="C2057" s="24" t="s">
        <v>40</v>
      </c>
      <c r="D2057" s="24" t="s">
        <v>41</v>
      </c>
      <c r="E2057" s="25">
        <f>SUM(E2050,E2052,E2054,E2056)</f>
        <v>135.9</v>
      </c>
      <c r="F2057" s="23" t="str">
        <f>ROUND(E2057/60, 1) &amp; " Saat"</f>
        <v>2.3 Saat</v>
      </c>
      <c r="G2057" s="23" t="str">
        <f>COUNTIF(G2050:G2056, "X") &amp; "/4"</f>
        <v>0/4</v>
      </c>
    </row>
    <row r="2058" ht="28" customHeight="1" spans="1:7" x14ac:dyDescent="0.25">
      <c r="A2058" s="26" t="s">
        <v>79</v>
      </c>
      <c r="B2058" s="26"/>
      <c r="C2058" s="26"/>
      <c r="D2058" s="26"/>
      <c r="E2058" s="26"/>
      <c r="F2058" s="26"/>
      <c r="G2058" s="26"/>
    </row>
    <row r="2059" ht="8" customHeight="1" x14ac:dyDescent="0.25"/>
    <row r="2060" ht="25" customHeight="1" spans="1:7" x14ac:dyDescent="0.25">
      <c r="A2060" s="14" t="s">
        <v>815</v>
      </c>
      <c r="B2060" s="14"/>
      <c r="C2060" s="14"/>
      <c r="D2060" s="14"/>
      <c r="E2060" s="14"/>
      <c r="F2060" s="14"/>
      <c r="G2060" s="14"/>
    </row>
    <row r="2061" ht="22" customHeight="1" spans="1:7" x14ac:dyDescent="0.25">
      <c r="A2061" s="15" t="s">
        <v>17</v>
      </c>
      <c r="B2061" s="15"/>
      <c r="C2061" s="15"/>
      <c r="D2061" s="15"/>
      <c r="E2061" s="15"/>
      <c r="F2061" s="15"/>
      <c r="G2061" s="15"/>
    </row>
    <row r="2062" ht="22" customHeight="1" spans="1:7" x14ac:dyDescent="0.25">
      <c r="A2062" s="16" t="s">
        <v>18</v>
      </c>
      <c r="B2062" s="17" t="s">
        <v>19</v>
      </c>
      <c r="C2062" s="17" t="s">
        <v>467</v>
      </c>
      <c r="D2062" s="17" t="s">
        <v>23</v>
      </c>
      <c r="E2062" s="18">
        <v>40</v>
      </c>
      <c r="F2062" s="16" t="s">
        <v>27</v>
      </c>
      <c r="G2062" s="16" t="s">
        <v>23</v>
      </c>
    </row>
    <row r="2063" ht="20" customHeight="1" spans="1:7" x14ac:dyDescent="0.25">
      <c r="A2063" s="20" t="s">
        <v>24</v>
      </c>
      <c r="B2063" s="21" t="s">
        <v>25</v>
      </c>
      <c r="C2063" s="21" t="s">
        <v>26</v>
      </c>
      <c r="D2063" s="21" t="s">
        <v>27</v>
      </c>
      <c r="E2063" s="22" t="s">
        <v>23</v>
      </c>
      <c r="F2063" s="20" t="s">
        <v>27</v>
      </c>
      <c r="G2063" s="20" t="s">
        <v>27</v>
      </c>
    </row>
    <row r="2064" ht="22" customHeight="1" spans="1:7" x14ac:dyDescent="0.25">
      <c r="A2064" s="16" t="s">
        <v>28</v>
      </c>
      <c r="B2064" s="17" t="s">
        <v>19</v>
      </c>
      <c r="C2064" s="17" t="s">
        <v>467</v>
      </c>
      <c r="D2064" s="17" t="s">
        <v>23</v>
      </c>
      <c r="E2064" s="18">
        <v>40</v>
      </c>
      <c r="F2064" s="16" t="s">
        <v>27</v>
      </c>
      <c r="G2064" s="16" t="s">
        <v>23</v>
      </c>
    </row>
    <row r="2065" ht="20" customHeight="1" spans="1:7" x14ac:dyDescent="0.25">
      <c r="A2065" s="20" t="s">
        <v>30</v>
      </c>
      <c r="B2065" s="21" t="s">
        <v>25</v>
      </c>
      <c r="C2065" s="21" t="s">
        <v>26</v>
      </c>
      <c r="D2065" s="21" t="s">
        <v>27</v>
      </c>
      <c r="E2065" s="22" t="s">
        <v>23</v>
      </c>
      <c r="F2065" s="20" t="s">
        <v>27</v>
      </c>
      <c r="G2065" s="20" t="s">
        <v>27</v>
      </c>
    </row>
    <row r="2066" ht="22" customHeight="1" spans="1:7" x14ac:dyDescent="0.25">
      <c r="A2066" s="16" t="s">
        <v>31</v>
      </c>
      <c r="B2066" s="17" t="s">
        <v>32</v>
      </c>
      <c r="C2066" s="17" t="s">
        <v>467</v>
      </c>
      <c r="D2066" s="17" t="s">
        <v>23</v>
      </c>
      <c r="E2066" s="18">
        <v>40</v>
      </c>
      <c r="F2066" s="16" t="s">
        <v>27</v>
      </c>
      <c r="G2066" s="16" t="s">
        <v>23</v>
      </c>
    </row>
    <row r="2067" ht="20" customHeight="1" spans="1:7" x14ac:dyDescent="0.25">
      <c r="A2067" s="20" t="s">
        <v>35</v>
      </c>
      <c r="B2067" s="21" t="s">
        <v>25</v>
      </c>
      <c r="C2067" s="21" t="s">
        <v>26</v>
      </c>
      <c r="D2067" s="21" t="s">
        <v>27</v>
      </c>
      <c r="E2067" s="22" t="s">
        <v>23</v>
      </c>
      <c r="F2067" s="20" t="s">
        <v>27</v>
      </c>
      <c r="G2067" s="20" t="s">
        <v>27</v>
      </c>
    </row>
    <row r="2068" ht="22" customHeight="1" spans="1:7" x14ac:dyDescent="0.25">
      <c r="A2068" s="16" t="s">
        <v>36</v>
      </c>
      <c r="B2068" s="17" t="s">
        <v>32</v>
      </c>
      <c r="C2068" s="17" t="s">
        <v>467</v>
      </c>
      <c r="D2068" s="17" t="s">
        <v>23</v>
      </c>
      <c r="E2068" s="18">
        <v>40</v>
      </c>
      <c r="F2068" s="16" t="s">
        <v>27</v>
      </c>
      <c r="G2068" s="16" t="s">
        <v>23</v>
      </c>
    </row>
    <row r="2069" ht="24" customHeight="1" spans="1:7" x14ac:dyDescent="0.25">
      <c r="A2069" s="23" t="s">
        <v>38</v>
      </c>
      <c r="B2069" s="23" t="s">
        <v>39</v>
      </c>
      <c r="C2069" s="24" t="s">
        <v>40</v>
      </c>
      <c r="D2069" s="24" t="s">
        <v>41</v>
      </c>
      <c r="E2069" s="25">
        <f>SUM(E2062,E2064,E2066,E2068)</f>
        <v>160</v>
      </c>
      <c r="F2069" s="23" t="str">
        <f>ROUND(E2069/60, 1) &amp; " Saat"</f>
        <v>2.7 Saat</v>
      </c>
      <c r="G2069" s="23" t="str">
        <f>COUNTIF(G2062:G2068, "X") &amp; "/4"</f>
        <v>0/4</v>
      </c>
    </row>
    <row r="2070" ht="22" customHeight="1" spans="1:7" x14ac:dyDescent="0.25">
      <c r="A2070" s="15" t="s">
        <v>42</v>
      </c>
      <c r="B2070" s="15"/>
      <c r="C2070" s="15"/>
      <c r="D2070" s="15"/>
      <c r="E2070" s="15"/>
      <c r="F2070" s="15"/>
      <c r="G2070" s="15"/>
    </row>
    <row r="2071" ht="22" customHeight="1" spans="1:7" x14ac:dyDescent="0.25">
      <c r="A2071" s="16" t="s">
        <v>18</v>
      </c>
      <c r="B2071" s="17" t="s">
        <v>43</v>
      </c>
      <c r="C2071" s="17" t="s">
        <v>467</v>
      </c>
      <c r="D2071" s="17" t="s">
        <v>23</v>
      </c>
      <c r="E2071" s="18">
        <v>40</v>
      </c>
      <c r="F2071" s="16" t="s">
        <v>27</v>
      </c>
      <c r="G2071" s="16" t="s">
        <v>23</v>
      </c>
    </row>
    <row r="2072" ht="20" customHeight="1" spans="1:7" x14ac:dyDescent="0.25">
      <c r="A2072" s="20" t="s">
        <v>24</v>
      </c>
      <c r="B2072" s="21" t="s">
        <v>25</v>
      </c>
      <c r="C2072" s="21" t="s">
        <v>26</v>
      </c>
      <c r="D2072" s="21" t="s">
        <v>27</v>
      </c>
      <c r="E2072" s="22" t="s">
        <v>23</v>
      </c>
      <c r="F2072" s="20" t="s">
        <v>27</v>
      </c>
      <c r="G2072" s="20" t="s">
        <v>27</v>
      </c>
    </row>
    <row r="2073" ht="22" customHeight="1" spans="1:7" x14ac:dyDescent="0.25">
      <c r="A2073" s="16" t="s">
        <v>28</v>
      </c>
      <c r="B2073" s="17" t="s">
        <v>43</v>
      </c>
      <c r="C2073" s="17" t="s">
        <v>467</v>
      </c>
      <c r="D2073" s="17" t="s">
        <v>23</v>
      </c>
      <c r="E2073" s="18">
        <v>40</v>
      </c>
      <c r="F2073" s="16" t="s">
        <v>27</v>
      </c>
      <c r="G2073" s="16" t="s">
        <v>23</v>
      </c>
    </row>
    <row r="2074" ht="20" customHeight="1" spans="1:7" x14ac:dyDescent="0.25">
      <c r="A2074" s="20" t="s">
        <v>30</v>
      </c>
      <c r="B2074" s="21" t="s">
        <v>25</v>
      </c>
      <c r="C2074" s="21" t="s">
        <v>26</v>
      </c>
      <c r="D2074" s="21" t="s">
        <v>27</v>
      </c>
      <c r="E2074" s="22" t="s">
        <v>23</v>
      </c>
      <c r="F2074" s="20" t="s">
        <v>27</v>
      </c>
      <c r="G2074" s="20" t="s">
        <v>27</v>
      </c>
    </row>
    <row r="2075" ht="22" customHeight="1" spans="1:7" x14ac:dyDescent="0.25">
      <c r="A2075" s="16" t="s">
        <v>31</v>
      </c>
      <c r="B2075" s="17" t="s">
        <v>47</v>
      </c>
      <c r="C2075" s="17" t="s">
        <v>816</v>
      </c>
      <c r="D2075" s="17" t="s">
        <v>49</v>
      </c>
      <c r="E2075" s="18">
        <v>57.2</v>
      </c>
      <c r="F2075" s="19" t="s">
        <v>22</v>
      </c>
      <c r="G2075" s="16" t="s">
        <v>23</v>
      </c>
    </row>
    <row r="2076" ht="20" customHeight="1" spans="1:7" x14ac:dyDescent="0.25">
      <c r="A2076" s="20" t="s">
        <v>35</v>
      </c>
      <c r="B2076" s="21" t="s">
        <v>25</v>
      </c>
      <c r="C2076" s="21" t="s">
        <v>26</v>
      </c>
      <c r="D2076" s="21" t="s">
        <v>27</v>
      </c>
      <c r="E2076" s="22" t="s">
        <v>23</v>
      </c>
      <c r="F2076" s="20" t="s">
        <v>27</v>
      </c>
      <c r="G2076" s="20" t="s">
        <v>27</v>
      </c>
    </row>
    <row r="2077" ht="22" customHeight="1" spans="1:7" x14ac:dyDescent="0.25">
      <c r="A2077" s="16" t="s">
        <v>36</v>
      </c>
      <c r="B2077" s="17" t="s">
        <v>47</v>
      </c>
      <c r="C2077" s="17" t="s">
        <v>817</v>
      </c>
      <c r="D2077" s="17" t="s">
        <v>49</v>
      </c>
      <c r="E2077" s="18">
        <v>45.7</v>
      </c>
      <c r="F2077" s="19" t="s">
        <v>22</v>
      </c>
      <c r="G2077" s="16" t="s">
        <v>23</v>
      </c>
    </row>
    <row r="2078" ht="24" customHeight="1" spans="1:7" x14ac:dyDescent="0.25">
      <c r="A2078" s="23" t="s">
        <v>38</v>
      </c>
      <c r="B2078" s="23" t="s">
        <v>39</v>
      </c>
      <c r="C2078" s="24" t="s">
        <v>40</v>
      </c>
      <c r="D2078" s="24" t="s">
        <v>41</v>
      </c>
      <c r="E2078" s="25">
        <f>SUM(E2071,E2073,E2075,E2077)</f>
        <v>182.9</v>
      </c>
      <c r="F2078" s="23" t="str">
        <f>ROUND(E2078/60, 1) &amp; " Saat"</f>
        <v>3.0 Saat</v>
      </c>
      <c r="G2078" s="23" t="str">
        <f>COUNTIF(G2071:G2077, "X") &amp; "/4"</f>
        <v>0/4</v>
      </c>
    </row>
    <row r="2079" ht="22" customHeight="1" spans="1:7" x14ac:dyDescent="0.25">
      <c r="A2079" s="15" t="s">
        <v>51</v>
      </c>
      <c r="B2079" s="15"/>
      <c r="C2079" s="15"/>
      <c r="D2079" s="15"/>
      <c r="E2079" s="15"/>
      <c r="F2079" s="15"/>
      <c r="G2079" s="15"/>
    </row>
    <row r="2080" ht="22" customHeight="1" spans="1:7" x14ac:dyDescent="0.25">
      <c r="A2080" s="16" t="s">
        <v>18</v>
      </c>
      <c r="B2080" s="17" t="s">
        <v>52</v>
      </c>
      <c r="C2080" s="17" t="s">
        <v>467</v>
      </c>
      <c r="D2080" s="17" t="s">
        <v>23</v>
      </c>
      <c r="E2080" s="18">
        <v>40</v>
      </c>
      <c r="F2080" s="16" t="s">
        <v>27</v>
      </c>
      <c r="G2080" s="16" t="s">
        <v>23</v>
      </c>
    </row>
    <row r="2081" ht="20" customHeight="1" spans="1:7" x14ac:dyDescent="0.25">
      <c r="A2081" s="20" t="s">
        <v>24</v>
      </c>
      <c r="B2081" s="21" t="s">
        <v>25</v>
      </c>
      <c r="C2081" s="21" t="s">
        <v>26</v>
      </c>
      <c r="D2081" s="21" t="s">
        <v>27</v>
      </c>
      <c r="E2081" s="22" t="s">
        <v>23</v>
      </c>
      <c r="F2081" s="20" t="s">
        <v>27</v>
      </c>
      <c r="G2081" s="20" t="s">
        <v>27</v>
      </c>
    </row>
    <row r="2082" ht="22" customHeight="1" spans="1:7" x14ac:dyDescent="0.25">
      <c r="A2082" s="16" t="s">
        <v>28</v>
      </c>
      <c r="B2082" s="17" t="s">
        <v>52</v>
      </c>
      <c r="C2082" s="17" t="s">
        <v>467</v>
      </c>
      <c r="D2082" s="17" t="s">
        <v>23</v>
      </c>
      <c r="E2082" s="18">
        <v>40</v>
      </c>
      <c r="F2082" s="16" t="s">
        <v>27</v>
      </c>
      <c r="G2082" s="16" t="s">
        <v>23</v>
      </c>
    </row>
    <row r="2083" ht="20" customHeight="1" spans="1:7" x14ac:dyDescent="0.25">
      <c r="A2083" s="20" t="s">
        <v>30</v>
      </c>
      <c r="B2083" s="21" t="s">
        <v>25</v>
      </c>
      <c r="C2083" s="21" t="s">
        <v>26</v>
      </c>
      <c r="D2083" s="21" t="s">
        <v>27</v>
      </c>
      <c r="E2083" s="22" t="s">
        <v>23</v>
      </c>
      <c r="F2083" s="20" t="s">
        <v>27</v>
      </c>
      <c r="G2083" s="20" t="s">
        <v>27</v>
      </c>
    </row>
    <row r="2084" ht="22" customHeight="1" spans="1:7" x14ac:dyDescent="0.25">
      <c r="A2084" s="16" t="s">
        <v>31</v>
      </c>
      <c r="B2084" s="17" t="s">
        <v>56</v>
      </c>
      <c r="C2084" s="17" t="s">
        <v>467</v>
      </c>
      <c r="D2084" s="17" t="s">
        <v>23</v>
      </c>
      <c r="E2084" s="18">
        <v>40</v>
      </c>
      <c r="F2084" s="16" t="s">
        <v>27</v>
      </c>
      <c r="G2084" s="16" t="s">
        <v>23</v>
      </c>
    </row>
    <row r="2085" ht="20" customHeight="1" spans="1:7" x14ac:dyDescent="0.25">
      <c r="A2085" s="20" t="s">
        <v>35</v>
      </c>
      <c r="B2085" s="21" t="s">
        <v>25</v>
      </c>
      <c r="C2085" s="21" t="s">
        <v>26</v>
      </c>
      <c r="D2085" s="21" t="s">
        <v>27</v>
      </c>
      <c r="E2085" s="22" t="s">
        <v>23</v>
      </c>
      <c r="F2085" s="20" t="s">
        <v>27</v>
      </c>
      <c r="G2085" s="20" t="s">
        <v>27</v>
      </c>
    </row>
    <row r="2086" ht="22" customHeight="1" spans="1:7" x14ac:dyDescent="0.25">
      <c r="A2086" s="16" t="s">
        <v>36</v>
      </c>
      <c r="B2086" s="17" t="s">
        <v>56</v>
      </c>
      <c r="C2086" s="17" t="s">
        <v>467</v>
      </c>
      <c r="D2086" s="17" t="s">
        <v>23</v>
      </c>
      <c r="E2086" s="18">
        <v>40</v>
      </c>
      <c r="F2086" s="16" t="s">
        <v>27</v>
      </c>
      <c r="G2086" s="16" t="s">
        <v>23</v>
      </c>
    </row>
    <row r="2087" ht="24" customHeight="1" spans="1:7" x14ac:dyDescent="0.25">
      <c r="A2087" s="23" t="s">
        <v>38</v>
      </c>
      <c r="B2087" s="23" t="s">
        <v>39</v>
      </c>
      <c r="C2087" s="24" t="s">
        <v>40</v>
      </c>
      <c r="D2087" s="24" t="s">
        <v>41</v>
      </c>
      <c r="E2087" s="25">
        <f>SUM(E2080,E2082,E2084,E2086)</f>
        <v>160</v>
      </c>
      <c r="F2087" s="23" t="str">
        <f>ROUND(E2087/60, 1) &amp; " Saat"</f>
        <v>2.7 Saat</v>
      </c>
      <c r="G2087" s="23" t="str">
        <f>COUNTIF(G2080:G2086, "X") &amp; "/4"</f>
        <v>0/4</v>
      </c>
    </row>
    <row r="2088" ht="22" customHeight="1" spans="1:7" x14ac:dyDescent="0.25">
      <c r="A2088" s="15" t="s">
        <v>60</v>
      </c>
      <c r="B2088" s="15"/>
      <c r="C2088" s="15"/>
      <c r="D2088" s="15"/>
      <c r="E2088" s="15"/>
      <c r="F2088" s="15"/>
      <c r="G2088" s="15"/>
    </row>
    <row r="2089" ht="22" customHeight="1" spans="1:7" x14ac:dyDescent="0.25">
      <c r="A2089" s="16" t="s">
        <v>18</v>
      </c>
      <c r="B2089" s="17" t="s">
        <v>43</v>
      </c>
      <c r="C2089" s="17" t="s">
        <v>467</v>
      </c>
      <c r="D2089" s="17" t="s">
        <v>23</v>
      </c>
      <c r="E2089" s="18">
        <v>40</v>
      </c>
      <c r="F2089" s="16" t="s">
        <v>27</v>
      </c>
      <c r="G2089" s="16" t="s">
        <v>23</v>
      </c>
    </row>
    <row r="2090" ht="20" customHeight="1" spans="1:7" x14ac:dyDescent="0.25">
      <c r="A2090" s="20" t="s">
        <v>24</v>
      </c>
      <c r="B2090" s="21" t="s">
        <v>25</v>
      </c>
      <c r="C2090" s="21" t="s">
        <v>26</v>
      </c>
      <c r="D2090" s="21" t="s">
        <v>27</v>
      </c>
      <c r="E2090" s="22" t="s">
        <v>23</v>
      </c>
      <c r="F2090" s="20" t="s">
        <v>27</v>
      </c>
      <c r="G2090" s="20" t="s">
        <v>27</v>
      </c>
    </row>
    <row r="2091" ht="22" customHeight="1" spans="1:7" x14ac:dyDescent="0.25">
      <c r="A2091" s="16" t="s">
        <v>28</v>
      </c>
      <c r="B2091" s="17" t="s">
        <v>43</v>
      </c>
      <c r="C2091" s="17" t="s">
        <v>467</v>
      </c>
      <c r="D2091" s="17" t="s">
        <v>23</v>
      </c>
      <c r="E2091" s="18">
        <v>40</v>
      </c>
      <c r="F2091" s="16" t="s">
        <v>27</v>
      </c>
      <c r="G2091" s="16" t="s">
        <v>23</v>
      </c>
    </row>
    <row r="2092" ht="20" customHeight="1" spans="1:7" x14ac:dyDescent="0.25">
      <c r="A2092" s="20" t="s">
        <v>30</v>
      </c>
      <c r="B2092" s="21" t="s">
        <v>25</v>
      </c>
      <c r="C2092" s="21" t="s">
        <v>26</v>
      </c>
      <c r="D2092" s="21" t="s">
        <v>27</v>
      </c>
      <c r="E2092" s="22" t="s">
        <v>23</v>
      </c>
      <c r="F2092" s="20" t="s">
        <v>27</v>
      </c>
      <c r="G2092" s="20" t="s">
        <v>27</v>
      </c>
    </row>
    <row r="2093" ht="22" customHeight="1" spans="1:7" x14ac:dyDescent="0.25">
      <c r="A2093" s="16" t="s">
        <v>31</v>
      </c>
      <c r="B2093" s="17" t="s">
        <v>63</v>
      </c>
      <c r="C2093" s="17" t="s">
        <v>818</v>
      </c>
      <c r="D2093" s="17" t="s">
        <v>65</v>
      </c>
      <c r="E2093" s="18">
        <v>10.1</v>
      </c>
      <c r="F2093" s="19" t="s">
        <v>22</v>
      </c>
      <c r="G2093" s="16" t="s">
        <v>23</v>
      </c>
    </row>
    <row r="2094" ht="20" customHeight="1" spans="1:7" x14ac:dyDescent="0.25">
      <c r="A2094" s="20" t="s">
        <v>35</v>
      </c>
      <c r="B2094" s="21" t="s">
        <v>25</v>
      </c>
      <c r="C2094" s="21" t="s">
        <v>26</v>
      </c>
      <c r="D2094" s="21" t="s">
        <v>27</v>
      </c>
      <c r="E2094" s="22" t="s">
        <v>23</v>
      </c>
      <c r="F2094" s="20" t="s">
        <v>27</v>
      </c>
      <c r="G2094" s="20" t="s">
        <v>27</v>
      </c>
    </row>
    <row r="2095" ht="22" customHeight="1" spans="1:7" x14ac:dyDescent="0.25">
      <c r="A2095" s="16" t="s">
        <v>36</v>
      </c>
      <c r="B2095" s="17" t="s">
        <v>63</v>
      </c>
      <c r="C2095" s="17" t="s">
        <v>819</v>
      </c>
      <c r="D2095" s="17" t="s">
        <v>65</v>
      </c>
      <c r="E2095" s="18">
        <v>38.8</v>
      </c>
      <c r="F2095" s="19" t="s">
        <v>22</v>
      </c>
      <c r="G2095" s="16" t="s">
        <v>23</v>
      </c>
    </row>
    <row r="2096" ht="24" customHeight="1" spans="1:7" x14ac:dyDescent="0.25">
      <c r="A2096" s="23" t="s">
        <v>38</v>
      </c>
      <c r="B2096" s="23" t="s">
        <v>39</v>
      </c>
      <c r="C2096" s="24" t="s">
        <v>40</v>
      </c>
      <c r="D2096" s="24" t="s">
        <v>41</v>
      </c>
      <c r="E2096" s="25">
        <f>SUM(E2089,E2091,E2093,E2095)</f>
        <v>128.9</v>
      </c>
      <c r="F2096" s="23" t="str">
        <f>ROUND(E2096/60, 1) &amp; " Saat"</f>
        <v>2.1 Saat</v>
      </c>
      <c r="G2096" s="23" t="str">
        <f>COUNTIF(G2089:G2095, "X") &amp; "/4"</f>
        <v>0/4</v>
      </c>
    </row>
    <row r="2097" ht="22" customHeight="1" spans="1:7" x14ac:dyDescent="0.25">
      <c r="A2097" s="15" t="s">
        <v>67</v>
      </c>
      <c r="B2097" s="15"/>
      <c r="C2097" s="15"/>
      <c r="D2097" s="15"/>
      <c r="E2097" s="15"/>
      <c r="F2097" s="15"/>
      <c r="G2097" s="15"/>
    </row>
    <row r="2098" ht="22" customHeight="1" spans="1:7" x14ac:dyDescent="0.25">
      <c r="A2098" s="16" t="s">
        <v>18</v>
      </c>
      <c r="B2098" s="17" t="s">
        <v>68</v>
      </c>
      <c r="C2098" s="17" t="s">
        <v>820</v>
      </c>
      <c r="D2098" s="17" t="s">
        <v>70</v>
      </c>
      <c r="E2098" s="18">
        <v>47.7</v>
      </c>
      <c r="F2098" s="19" t="s">
        <v>22</v>
      </c>
      <c r="G2098" s="16" t="s">
        <v>23</v>
      </c>
    </row>
    <row r="2099" ht="20" customHeight="1" spans="1:7" x14ac:dyDescent="0.25">
      <c r="A2099" s="20" t="s">
        <v>24</v>
      </c>
      <c r="B2099" s="21" t="s">
        <v>25</v>
      </c>
      <c r="C2099" s="21" t="s">
        <v>26</v>
      </c>
      <c r="D2099" s="21" t="s">
        <v>27</v>
      </c>
      <c r="E2099" s="22" t="s">
        <v>23</v>
      </c>
      <c r="F2099" s="20" t="s">
        <v>27</v>
      </c>
      <c r="G2099" s="20" t="s">
        <v>27</v>
      </c>
    </row>
    <row r="2100" ht="22" customHeight="1" spans="1:7" x14ac:dyDescent="0.25">
      <c r="A2100" s="16" t="s">
        <v>28</v>
      </c>
      <c r="B2100" s="17" t="s">
        <v>68</v>
      </c>
      <c r="C2100" s="17" t="s">
        <v>821</v>
      </c>
      <c r="D2100" s="17" t="s">
        <v>70</v>
      </c>
      <c r="E2100" s="18">
        <v>14</v>
      </c>
      <c r="F2100" s="19" t="s">
        <v>22</v>
      </c>
      <c r="G2100" s="16" t="s">
        <v>23</v>
      </c>
    </row>
    <row r="2101" ht="20" customHeight="1" spans="1:7" x14ac:dyDescent="0.25">
      <c r="A2101" s="20" t="s">
        <v>30</v>
      </c>
      <c r="B2101" s="21" t="s">
        <v>25</v>
      </c>
      <c r="C2101" s="21" t="s">
        <v>26</v>
      </c>
      <c r="D2101" s="21" t="s">
        <v>27</v>
      </c>
      <c r="E2101" s="22" t="s">
        <v>23</v>
      </c>
      <c r="F2101" s="20" t="s">
        <v>27</v>
      </c>
      <c r="G2101" s="20" t="s">
        <v>27</v>
      </c>
    </row>
    <row r="2102" ht="22" customHeight="1" spans="1:7" x14ac:dyDescent="0.25">
      <c r="A2102" s="16" t="s">
        <v>31</v>
      </c>
      <c r="B2102" s="17" t="s">
        <v>449</v>
      </c>
      <c r="C2102" s="17" t="s">
        <v>822</v>
      </c>
      <c r="D2102" s="17" t="s">
        <v>34</v>
      </c>
      <c r="E2102" s="18">
        <v>30.2</v>
      </c>
      <c r="F2102" s="19" t="s">
        <v>22</v>
      </c>
      <c r="G2102" s="16" t="s">
        <v>23</v>
      </c>
    </row>
    <row r="2103" ht="20" customHeight="1" spans="1:7" x14ac:dyDescent="0.25">
      <c r="A2103" s="20" t="s">
        <v>35</v>
      </c>
      <c r="B2103" s="21" t="s">
        <v>25</v>
      </c>
      <c r="C2103" s="21" t="s">
        <v>26</v>
      </c>
      <c r="D2103" s="21" t="s">
        <v>27</v>
      </c>
      <c r="E2103" s="22" t="s">
        <v>23</v>
      </c>
      <c r="F2103" s="20" t="s">
        <v>27</v>
      </c>
      <c r="G2103" s="20" t="s">
        <v>27</v>
      </c>
    </row>
    <row r="2104" ht="22" customHeight="1" spans="1:7" x14ac:dyDescent="0.25">
      <c r="A2104" s="16" t="s">
        <v>36</v>
      </c>
      <c r="B2104" s="17" t="s">
        <v>449</v>
      </c>
      <c r="C2104" s="17" t="s">
        <v>823</v>
      </c>
      <c r="D2104" s="17" t="s">
        <v>34</v>
      </c>
      <c r="E2104" s="18">
        <v>38</v>
      </c>
      <c r="F2104" s="19" t="s">
        <v>22</v>
      </c>
      <c r="G2104" s="16" t="s">
        <v>23</v>
      </c>
    </row>
    <row r="2105" ht="24" customHeight="1" spans="1:7" x14ac:dyDescent="0.25">
      <c r="A2105" s="23" t="s">
        <v>38</v>
      </c>
      <c r="B2105" s="23" t="s">
        <v>39</v>
      </c>
      <c r="C2105" s="24" t="s">
        <v>40</v>
      </c>
      <c r="D2105" s="24" t="s">
        <v>41</v>
      </c>
      <c r="E2105" s="25">
        <f>SUM(E2098,E2100,E2102,E2104)</f>
        <v>129.9</v>
      </c>
      <c r="F2105" s="23" t="str">
        <f>ROUND(E2105/60, 1) &amp; " Saat"</f>
        <v>2.2 Saat</v>
      </c>
      <c r="G2105" s="23" t="str">
        <f>COUNTIF(G2098:G2104, "X") &amp; "/4"</f>
        <v>0/4</v>
      </c>
    </row>
    <row r="2106" ht="22" customHeight="1" spans="1:7" x14ac:dyDescent="0.25">
      <c r="A2106" s="15" t="s">
        <v>74</v>
      </c>
      <c r="B2106" s="15"/>
      <c r="C2106" s="15"/>
      <c r="D2106" s="15"/>
      <c r="E2106" s="15"/>
      <c r="F2106" s="15"/>
      <c r="G2106" s="15"/>
    </row>
    <row r="2107" ht="22" customHeight="1" spans="1:7" x14ac:dyDescent="0.25">
      <c r="A2107" s="16" t="s">
        <v>18</v>
      </c>
      <c r="B2107" s="17" t="s">
        <v>47</v>
      </c>
      <c r="C2107" s="17" t="s">
        <v>824</v>
      </c>
      <c r="D2107" s="17" t="s">
        <v>49</v>
      </c>
      <c r="E2107" s="18">
        <v>26.7</v>
      </c>
      <c r="F2107" s="19" t="s">
        <v>22</v>
      </c>
      <c r="G2107" s="16" t="s">
        <v>23</v>
      </c>
    </row>
    <row r="2108" ht="20" customHeight="1" spans="1:7" x14ac:dyDescent="0.25">
      <c r="A2108" s="20" t="s">
        <v>24</v>
      </c>
      <c r="B2108" s="21" t="s">
        <v>25</v>
      </c>
      <c r="C2108" s="21" t="s">
        <v>26</v>
      </c>
      <c r="D2108" s="21" t="s">
        <v>27</v>
      </c>
      <c r="E2108" s="22" t="s">
        <v>23</v>
      </c>
      <c r="F2108" s="20" t="s">
        <v>27</v>
      </c>
      <c r="G2108" s="20" t="s">
        <v>27</v>
      </c>
    </row>
    <row r="2109" ht="22" customHeight="1" spans="1:7" x14ac:dyDescent="0.25">
      <c r="A2109" s="16" t="s">
        <v>28</v>
      </c>
      <c r="B2109" s="17" t="s">
        <v>47</v>
      </c>
      <c r="C2109" s="17" t="s">
        <v>825</v>
      </c>
      <c r="D2109" s="17" t="s">
        <v>49</v>
      </c>
      <c r="E2109" s="18">
        <v>33</v>
      </c>
      <c r="F2109" s="19" t="s">
        <v>22</v>
      </c>
      <c r="G2109" s="16" t="s">
        <v>23</v>
      </c>
    </row>
    <row r="2110" ht="20" customHeight="1" spans="1:7" x14ac:dyDescent="0.25">
      <c r="A2110" s="20" t="s">
        <v>30</v>
      </c>
      <c r="B2110" s="21" t="s">
        <v>25</v>
      </c>
      <c r="C2110" s="21" t="s">
        <v>26</v>
      </c>
      <c r="D2110" s="21" t="s">
        <v>27</v>
      </c>
      <c r="E2110" s="22" t="s">
        <v>23</v>
      </c>
      <c r="F2110" s="20" t="s">
        <v>27</v>
      </c>
      <c r="G2110" s="20" t="s">
        <v>27</v>
      </c>
    </row>
    <row r="2111" ht="22" customHeight="1" spans="1:7" x14ac:dyDescent="0.25">
      <c r="A2111" s="16" t="s">
        <v>31</v>
      </c>
      <c r="B2111" s="17" t="s">
        <v>568</v>
      </c>
      <c r="C2111" s="17" t="s">
        <v>467</v>
      </c>
      <c r="D2111" s="17" t="s">
        <v>23</v>
      </c>
      <c r="E2111" s="18">
        <v>40</v>
      </c>
      <c r="F2111" s="16" t="s">
        <v>27</v>
      </c>
      <c r="G2111" s="16" t="s">
        <v>23</v>
      </c>
    </row>
    <row r="2112" ht="20" customHeight="1" spans="1:7" x14ac:dyDescent="0.25">
      <c r="A2112" s="20" t="s">
        <v>35</v>
      </c>
      <c r="B2112" s="21" t="s">
        <v>25</v>
      </c>
      <c r="C2112" s="21" t="s">
        <v>26</v>
      </c>
      <c r="D2112" s="21" t="s">
        <v>27</v>
      </c>
      <c r="E2112" s="22" t="s">
        <v>23</v>
      </c>
      <c r="F2112" s="20" t="s">
        <v>27</v>
      </c>
      <c r="G2112" s="20" t="s">
        <v>27</v>
      </c>
    </row>
    <row r="2113" ht="22" customHeight="1" spans="1:7" x14ac:dyDescent="0.25">
      <c r="A2113" s="16" t="s">
        <v>36</v>
      </c>
      <c r="B2113" s="17" t="s">
        <v>568</v>
      </c>
      <c r="C2113" s="17" t="s">
        <v>467</v>
      </c>
      <c r="D2113" s="17" t="s">
        <v>23</v>
      </c>
      <c r="E2113" s="18">
        <v>40</v>
      </c>
      <c r="F2113" s="16" t="s">
        <v>27</v>
      </c>
      <c r="G2113" s="16" t="s">
        <v>23</v>
      </c>
    </row>
    <row r="2114" ht="24" customHeight="1" spans="1:7" x14ac:dyDescent="0.25">
      <c r="A2114" s="23" t="s">
        <v>38</v>
      </c>
      <c r="B2114" s="23" t="s">
        <v>39</v>
      </c>
      <c r="C2114" s="24" t="s">
        <v>40</v>
      </c>
      <c r="D2114" s="24" t="s">
        <v>41</v>
      </c>
      <c r="E2114" s="25">
        <f>SUM(E2107,E2109,E2111,E2113)</f>
        <v>139.7</v>
      </c>
      <c r="F2114" s="23" t="str">
        <f>ROUND(E2114/60, 1) &amp; " Saat"</f>
        <v>2.3 Saat</v>
      </c>
      <c r="G2114" s="23" t="str">
        <f>COUNTIF(G2107:G2113, "X") &amp; "/4"</f>
        <v>0/4</v>
      </c>
    </row>
    <row r="2115" ht="28" customHeight="1" spans="1:7" x14ac:dyDescent="0.25">
      <c r="A2115" s="26" t="s">
        <v>79</v>
      </c>
      <c r="B2115" s="26"/>
      <c r="C2115" s="26"/>
      <c r="D2115" s="26"/>
      <c r="E2115" s="26"/>
      <c r="F2115" s="26"/>
      <c r="G2115" s="26"/>
    </row>
    <row r="2116" ht="8" customHeight="1" x14ac:dyDescent="0.25"/>
    <row r="2117" ht="25" customHeight="1" spans="1:7" x14ac:dyDescent="0.25">
      <c r="A2117" s="14" t="s">
        <v>826</v>
      </c>
      <c r="B2117" s="14"/>
      <c r="C2117" s="14"/>
      <c r="D2117" s="14"/>
      <c r="E2117" s="14"/>
      <c r="F2117" s="14"/>
      <c r="G2117" s="14"/>
    </row>
    <row r="2118" ht="22" customHeight="1" spans="1:7" x14ac:dyDescent="0.25">
      <c r="A2118" s="15" t="s">
        <v>17</v>
      </c>
      <c r="B2118" s="15"/>
      <c r="C2118" s="15"/>
      <c r="D2118" s="15"/>
      <c r="E2118" s="15"/>
      <c r="F2118" s="15"/>
      <c r="G2118" s="15"/>
    </row>
    <row r="2119" ht="22" customHeight="1" spans="1:7" x14ac:dyDescent="0.25">
      <c r="A2119" s="16" t="s">
        <v>18</v>
      </c>
      <c r="B2119" s="17" t="s">
        <v>19</v>
      </c>
      <c r="C2119" s="17" t="s">
        <v>467</v>
      </c>
      <c r="D2119" s="17" t="s">
        <v>23</v>
      </c>
      <c r="E2119" s="18">
        <v>40</v>
      </c>
      <c r="F2119" s="16" t="s">
        <v>27</v>
      </c>
      <c r="G2119" s="16" t="s">
        <v>23</v>
      </c>
    </row>
    <row r="2120" ht="20" customHeight="1" spans="1:7" x14ac:dyDescent="0.25">
      <c r="A2120" s="20" t="s">
        <v>24</v>
      </c>
      <c r="B2120" s="21" t="s">
        <v>25</v>
      </c>
      <c r="C2120" s="21" t="s">
        <v>26</v>
      </c>
      <c r="D2120" s="21" t="s">
        <v>27</v>
      </c>
      <c r="E2120" s="22" t="s">
        <v>23</v>
      </c>
      <c r="F2120" s="20" t="s">
        <v>27</v>
      </c>
      <c r="G2120" s="20" t="s">
        <v>27</v>
      </c>
    </row>
    <row r="2121" ht="22" customHeight="1" spans="1:7" x14ac:dyDescent="0.25">
      <c r="A2121" s="16" t="s">
        <v>28</v>
      </c>
      <c r="B2121" s="17" t="s">
        <v>19</v>
      </c>
      <c r="C2121" s="17" t="s">
        <v>467</v>
      </c>
      <c r="D2121" s="17" t="s">
        <v>23</v>
      </c>
      <c r="E2121" s="18">
        <v>40</v>
      </c>
      <c r="F2121" s="16" t="s">
        <v>27</v>
      </c>
      <c r="G2121" s="16" t="s">
        <v>23</v>
      </c>
    </row>
    <row r="2122" ht="20" customHeight="1" spans="1:7" x14ac:dyDescent="0.25">
      <c r="A2122" s="20" t="s">
        <v>30</v>
      </c>
      <c r="B2122" s="21" t="s">
        <v>25</v>
      </c>
      <c r="C2122" s="21" t="s">
        <v>26</v>
      </c>
      <c r="D2122" s="21" t="s">
        <v>27</v>
      </c>
      <c r="E2122" s="22" t="s">
        <v>23</v>
      </c>
      <c r="F2122" s="20" t="s">
        <v>27</v>
      </c>
      <c r="G2122" s="20" t="s">
        <v>27</v>
      </c>
    </row>
    <row r="2123" ht="22" customHeight="1" spans="1:7" x14ac:dyDescent="0.25">
      <c r="A2123" s="16" t="s">
        <v>31</v>
      </c>
      <c r="B2123" s="17" t="s">
        <v>32</v>
      </c>
      <c r="C2123" s="17" t="s">
        <v>467</v>
      </c>
      <c r="D2123" s="17" t="s">
        <v>23</v>
      </c>
      <c r="E2123" s="18">
        <v>40</v>
      </c>
      <c r="F2123" s="16" t="s">
        <v>27</v>
      </c>
      <c r="G2123" s="16" t="s">
        <v>23</v>
      </c>
    </row>
    <row r="2124" ht="20" customHeight="1" spans="1:7" x14ac:dyDescent="0.25">
      <c r="A2124" s="20" t="s">
        <v>35</v>
      </c>
      <c r="B2124" s="21" t="s">
        <v>25</v>
      </c>
      <c r="C2124" s="21" t="s">
        <v>26</v>
      </c>
      <c r="D2124" s="21" t="s">
        <v>27</v>
      </c>
      <c r="E2124" s="22" t="s">
        <v>23</v>
      </c>
      <c r="F2124" s="20" t="s">
        <v>27</v>
      </c>
      <c r="G2124" s="20" t="s">
        <v>27</v>
      </c>
    </row>
    <row r="2125" ht="22" customHeight="1" spans="1:7" x14ac:dyDescent="0.25">
      <c r="A2125" s="16" t="s">
        <v>36</v>
      </c>
      <c r="B2125" s="17" t="s">
        <v>32</v>
      </c>
      <c r="C2125" s="17" t="s">
        <v>467</v>
      </c>
      <c r="D2125" s="17" t="s">
        <v>23</v>
      </c>
      <c r="E2125" s="18">
        <v>40</v>
      </c>
      <c r="F2125" s="16" t="s">
        <v>27</v>
      </c>
      <c r="G2125" s="16" t="s">
        <v>23</v>
      </c>
    </row>
    <row r="2126" ht="24" customHeight="1" spans="1:7" x14ac:dyDescent="0.25">
      <c r="A2126" s="23" t="s">
        <v>38</v>
      </c>
      <c r="B2126" s="23" t="s">
        <v>39</v>
      </c>
      <c r="C2126" s="24" t="s">
        <v>40</v>
      </c>
      <c r="D2126" s="24" t="s">
        <v>41</v>
      </c>
      <c r="E2126" s="25">
        <f>SUM(E2119,E2121,E2123,E2125)</f>
        <v>160</v>
      </c>
      <c r="F2126" s="23" t="str">
        <f>ROUND(E2126/60, 1) &amp; " Saat"</f>
        <v>2.7 Saat</v>
      </c>
      <c r="G2126" s="23" t="str">
        <f>COUNTIF(G2119:G2125, "X") &amp; "/4"</f>
        <v>0/4</v>
      </c>
    </row>
    <row r="2127" ht="22" customHeight="1" spans="1:7" x14ac:dyDescent="0.25">
      <c r="A2127" s="15" t="s">
        <v>42</v>
      </c>
      <c r="B2127" s="15"/>
      <c r="C2127" s="15"/>
      <c r="D2127" s="15"/>
      <c r="E2127" s="15"/>
      <c r="F2127" s="15"/>
      <c r="G2127" s="15"/>
    </row>
    <row r="2128" ht="22" customHeight="1" spans="1:7" x14ac:dyDescent="0.25">
      <c r="A2128" s="16" t="s">
        <v>18</v>
      </c>
      <c r="B2128" s="17" t="s">
        <v>43</v>
      </c>
      <c r="C2128" s="17" t="s">
        <v>467</v>
      </c>
      <c r="D2128" s="17" t="s">
        <v>23</v>
      </c>
      <c r="E2128" s="18">
        <v>40</v>
      </c>
      <c r="F2128" s="16" t="s">
        <v>27</v>
      </c>
      <c r="G2128" s="16" t="s">
        <v>23</v>
      </c>
    </row>
    <row r="2129" ht="20" customHeight="1" spans="1:7" x14ac:dyDescent="0.25">
      <c r="A2129" s="20" t="s">
        <v>24</v>
      </c>
      <c r="B2129" s="21" t="s">
        <v>25</v>
      </c>
      <c r="C2129" s="21" t="s">
        <v>26</v>
      </c>
      <c r="D2129" s="21" t="s">
        <v>27</v>
      </c>
      <c r="E2129" s="22" t="s">
        <v>23</v>
      </c>
      <c r="F2129" s="20" t="s">
        <v>27</v>
      </c>
      <c r="G2129" s="20" t="s">
        <v>27</v>
      </c>
    </row>
    <row r="2130" ht="22" customHeight="1" spans="1:7" x14ac:dyDescent="0.25">
      <c r="A2130" s="16" t="s">
        <v>28</v>
      </c>
      <c r="B2130" s="17" t="s">
        <v>43</v>
      </c>
      <c r="C2130" s="17" t="s">
        <v>467</v>
      </c>
      <c r="D2130" s="17" t="s">
        <v>23</v>
      </c>
      <c r="E2130" s="18">
        <v>40</v>
      </c>
      <c r="F2130" s="16" t="s">
        <v>27</v>
      </c>
      <c r="G2130" s="16" t="s">
        <v>23</v>
      </c>
    </row>
    <row r="2131" ht="20" customHeight="1" spans="1:7" x14ac:dyDescent="0.25">
      <c r="A2131" s="20" t="s">
        <v>30</v>
      </c>
      <c r="B2131" s="21" t="s">
        <v>25</v>
      </c>
      <c r="C2131" s="21" t="s">
        <v>26</v>
      </c>
      <c r="D2131" s="21" t="s">
        <v>27</v>
      </c>
      <c r="E2131" s="22" t="s">
        <v>23</v>
      </c>
      <c r="F2131" s="20" t="s">
        <v>27</v>
      </c>
      <c r="G2131" s="20" t="s">
        <v>27</v>
      </c>
    </row>
    <row r="2132" ht="22" customHeight="1" spans="1:7" x14ac:dyDescent="0.25">
      <c r="A2132" s="16" t="s">
        <v>31</v>
      </c>
      <c r="B2132" s="17" t="s">
        <v>47</v>
      </c>
      <c r="C2132" s="17" t="s">
        <v>827</v>
      </c>
      <c r="D2132" s="17" t="s">
        <v>49</v>
      </c>
      <c r="E2132" s="18">
        <v>31.1</v>
      </c>
      <c r="F2132" s="19" t="s">
        <v>22</v>
      </c>
      <c r="G2132" s="16" t="s">
        <v>23</v>
      </c>
    </row>
    <row r="2133" ht="20" customHeight="1" spans="1:7" x14ac:dyDescent="0.25">
      <c r="A2133" s="20" t="s">
        <v>35</v>
      </c>
      <c r="B2133" s="21" t="s">
        <v>25</v>
      </c>
      <c r="C2133" s="21" t="s">
        <v>26</v>
      </c>
      <c r="D2133" s="21" t="s">
        <v>27</v>
      </c>
      <c r="E2133" s="22" t="s">
        <v>23</v>
      </c>
      <c r="F2133" s="20" t="s">
        <v>27</v>
      </c>
      <c r="G2133" s="20" t="s">
        <v>27</v>
      </c>
    </row>
    <row r="2134" ht="22" customHeight="1" spans="1:7" x14ac:dyDescent="0.25">
      <c r="A2134" s="16" t="s">
        <v>36</v>
      </c>
      <c r="B2134" s="17" t="s">
        <v>47</v>
      </c>
      <c r="C2134" s="17" t="s">
        <v>828</v>
      </c>
      <c r="D2134" s="17" t="s">
        <v>49</v>
      </c>
      <c r="E2134" s="18">
        <v>31.6</v>
      </c>
      <c r="F2134" s="19" t="s">
        <v>22</v>
      </c>
      <c r="G2134" s="16" t="s">
        <v>23</v>
      </c>
    </row>
    <row r="2135" ht="24" customHeight="1" spans="1:7" x14ac:dyDescent="0.25">
      <c r="A2135" s="23" t="s">
        <v>38</v>
      </c>
      <c r="B2135" s="23" t="s">
        <v>39</v>
      </c>
      <c r="C2135" s="24" t="s">
        <v>40</v>
      </c>
      <c r="D2135" s="24" t="s">
        <v>41</v>
      </c>
      <c r="E2135" s="25">
        <f>SUM(E2128,E2130,E2132,E2134)</f>
        <v>142.7</v>
      </c>
      <c r="F2135" s="23" t="str">
        <f>ROUND(E2135/60, 1) &amp; " Saat"</f>
        <v>2.4 Saat</v>
      </c>
      <c r="G2135" s="23" t="str">
        <f>COUNTIF(G2128:G2134, "X") &amp; "/4"</f>
        <v>0/4</v>
      </c>
    </row>
    <row r="2136" ht="22" customHeight="1" spans="1:7" x14ac:dyDescent="0.25">
      <c r="A2136" s="15" t="s">
        <v>51</v>
      </c>
      <c r="B2136" s="15"/>
      <c r="C2136" s="15"/>
      <c r="D2136" s="15"/>
      <c r="E2136" s="15"/>
      <c r="F2136" s="15"/>
      <c r="G2136" s="15"/>
    </row>
    <row r="2137" ht="22" customHeight="1" spans="1:7" x14ac:dyDescent="0.25">
      <c r="A2137" s="16" t="s">
        <v>18</v>
      </c>
      <c r="B2137" s="17" t="s">
        <v>52</v>
      </c>
      <c r="C2137" s="17" t="s">
        <v>467</v>
      </c>
      <c r="D2137" s="17" t="s">
        <v>23</v>
      </c>
      <c r="E2137" s="18">
        <v>40</v>
      </c>
      <c r="F2137" s="16" t="s">
        <v>27</v>
      </c>
      <c r="G2137" s="16" t="s">
        <v>23</v>
      </c>
    </row>
    <row r="2138" ht="20" customHeight="1" spans="1:7" x14ac:dyDescent="0.25">
      <c r="A2138" s="20" t="s">
        <v>24</v>
      </c>
      <c r="B2138" s="21" t="s">
        <v>25</v>
      </c>
      <c r="C2138" s="21" t="s">
        <v>26</v>
      </c>
      <c r="D2138" s="21" t="s">
        <v>27</v>
      </c>
      <c r="E2138" s="22" t="s">
        <v>23</v>
      </c>
      <c r="F2138" s="20" t="s">
        <v>27</v>
      </c>
      <c r="G2138" s="20" t="s">
        <v>27</v>
      </c>
    </row>
    <row r="2139" ht="22" customHeight="1" spans="1:7" x14ac:dyDescent="0.25">
      <c r="A2139" s="16" t="s">
        <v>28</v>
      </c>
      <c r="B2139" s="17" t="s">
        <v>52</v>
      </c>
      <c r="C2139" s="17" t="s">
        <v>467</v>
      </c>
      <c r="D2139" s="17" t="s">
        <v>23</v>
      </c>
      <c r="E2139" s="18">
        <v>40</v>
      </c>
      <c r="F2139" s="16" t="s">
        <v>27</v>
      </c>
      <c r="G2139" s="16" t="s">
        <v>23</v>
      </c>
    </row>
    <row r="2140" ht="20" customHeight="1" spans="1:7" x14ac:dyDescent="0.25">
      <c r="A2140" s="20" t="s">
        <v>30</v>
      </c>
      <c r="B2140" s="21" t="s">
        <v>25</v>
      </c>
      <c r="C2140" s="21" t="s">
        <v>26</v>
      </c>
      <c r="D2140" s="21" t="s">
        <v>27</v>
      </c>
      <c r="E2140" s="22" t="s">
        <v>23</v>
      </c>
      <c r="F2140" s="20" t="s">
        <v>27</v>
      </c>
      <c r="G2140" s="20" t="s">
        <v>27</v>
      </c>
    </row>
    <row r="2141" ht="22" customHeight="1" spans="1:7" x14ac:dyDescent="0.25">
      <c r="A2141" s="16" t="s">
        <v>31</v>
      </c>
      <c r="B2141" s="17" t="s">
        <v>56</v>
      </c>
      <c r="C2141" s="17" t="s">
        <v>467</v>
      </c>
      <c r="D2141" s="17" t="s">
        <v>23</v>
      </c>
      <c r="E2141" s="18">
        <v>40</v>
      </c>
      <c r="F2141" s="16" t="s">
        <v>27</v>
      </c>
      <c r="G2141" s="16" t="s">
        <v>23</v>
      </c>
    </row>
    <row r="2142" ht="20" customHeight="1" spans="1:7" x14ac:dyDescent="0.25">
      <c r="A2142" s="20" t="s">
        <v>35</v>
      </c>
      <c r="B2142" s="21" t="s">
        <v>25</v>
      </c>
      <c r="C2142" s="21" t="s">
        <v>26</v>
      </c>
      <c r="D2142" s="21" t="s">
        <v>27</v>
      </c>
      <c r="E2142" s="22" t="s">
        <v>23</v>
      </c>
      <c r="F2142" s="20" t="s">
        <v>27</v>
      </c>
      <c r="G2142" s="20" t="s">
        <v>27</v>
      </c>
    </row>
    <row r="2143" ht="22" customHeight="1" spans="1:7" x14ac:dyDescent="0.25">
      <c r="A2143" s="16" t="s">
        <v>36</v>
      </c>
      <c r="B2143" s="17" t="s">
        <v>56</v>
      </c>
      <c r="C2143" s="17" t="s">
        <v>467</v>
      </c>
      <c r="D2143" s="17" t="s">
        <v>23</v>
      </c>
      <c r="E2143" s="18">
        <v>40</v>
      </c>
      <c r="F2143" s="16" t="s">
        <v>27</v>
      </c>
      <c r="G2143" s="16" t="s">
        <v>23</v>
      </c>
    </row>
    <row r="2144" ht="24" customHeight="1" spans="1:7" x14ac:dyDescent="0.25">
      <c r="A2144" s="23" t="s">
        <v>38</v>
      </c>
      <c r="B2144" s="23" t="s">
        <v>39</v>
      </c>
      <c r="C2144" s="24" t="s">
        <v>40</v>
      </c>
      <c r="D2144" s="24" t="s">
        <v>41</v>
      </c>
      <c r="E2144" s="25">
        <f>SUM(E2137,E2139,E2141,E2143)</f>
        <v>160</v>
      </c>
      <c r="F2144" s="23" t="str">
        <f>ROUND(E2144/60, 1) &amp; " Saat"</f>
        <v>2.7 Saat</v>
      </c>
      <c r="G2144" s="23" t="str">
        <f>COUNTIF(G2137:G2143, "X") &amp; "/4"</f>
        <v>0/4</v>
      </c>
    </row>
    <row r="2145" ht="22" customHeight="1" spans="1:7" x14ac:dyDescent="0.25">
      <c r="A2145" s="15" t="s">
        <v>60</v>
      </c>
      <c r="B2145" s="15"/>
      <c r="C2145" s="15"/>
      <c r="D2145" s="15"/>
      <c r="E2145" s="15"/>
      <c r="F2145" s="15"/>
      <c r="G2145" s="15"/>
    </row>
    <row r="2146" ht="22" customHeight="1" spans="1:7" x14ac:dyDescent="0.25">
      <c r="A2146" s="16" t="s">
        <v>18</v>
      </c>
      <c r="B2146" s="17" t="s">
        <v>43</v>
      </c>
      <c r="C2146" s="17" t="s">
        <v>467</v>
      </c>
      <c r="D2146" s="17" t="s">
        <v>23</v>
      </c>
      <c r="E2146" s="18">
        <v>40</v>
      </c>
      <c r="F2146" s="16" t="s">
        <v>27</v>
      </c>
      <c r="G2146" s="16" t="s">
        <v>23</v>
      </c>
    </row>
    <row r="2147" ht="20" customHeight="1" spans="1:7" x14ac:dyDescent="0.25">
      <c r="A2147" s="20" t="s">
        <v>24</v>
      </c>
      <c r="B2147" s="21" t="s">
        <v>25</v>
      </c>
      <c r="C2147" s="21" t="s">
        <v>26</v>
      </c>
      <c r="D2147" s="21" t="s">
        <v>27</v>
      </c>
      <c r="E2147" s="22" t="s">
        <v>23</v>
      </c>
      <c r="F2147" s="20" t="s">
        <v>27</v>
      </c>
      <c r="G2147" s="20" t="s">
        <v>27</v>
      </c>
    </row>
    <row r="2148" ht="22" customHeight="1" spans="1:7" x14ac:dyDescent="0.25">
      <c r="A2148" s="16" t="s">
        <v>28</v>
      </c>
      <c r="B2148" s="17" t="s">
        <v>43</v>
      </c>
      <c r="C2148" s="17" t="s">
        <v>467</v>
      </c>
      <c r="D2148" s="17" t="s">
        <v>23</v>
      </c>
      <c r="E2148" s="18">
        <v>40</v>
      </c>
      <c r="F2148" s="16" t="s">
        <v>27</v>
      </c>
      <c r="G2148" s="16" t="s">
        <v>23</v>
      </c>
    </row>
    <row r="2149" ht="20" customHeight="1" spans="1:7" x14ac:dyDescent="0.25">
      <c r="A2149" s="20" t="s">
        <v>30</v>
      </c>
      <c r="B2149" s="21" t="s">
        <v>25</v>
      </c>
      <c r="C2149" s="21" t="s">
        <v>26</v>
      </c>
      <c r="D2149" s="21" t="s">
        <v>27</v>
      </c>
      <c r="E2149" s="22" t="s">
        <v>23</v>
      </c>
      <c r="F2149" s="20" t="s">
        <v>27</v>
      </c>
      <c r="G2149" s="20" t="s">
        <v>27</v>
      </c>
    </row>
    <row r="2150" ht="22" customHeight="1" spans="1:7" x14ac:dyDescent="0.25">
      <c r="A2150" s="16" t="s">
        <v>31</v>
      </c>
      <c r="B2150" s="17" t="s">
        <v>63</v>
      </c>
      <c r="C2150" s="17" t="s">
        <v>829</v>
      </c>
      <c r="D2150" s="17" t="s">
        <v>65</v>
      </c>
      <c r="E2150" s="18">
        <v>12.7</v>
      </c>
      <c r="F2150" s="19" t="s">
        <v>22</v>
      </c>
      <c r="G2150" s="16" t="s">
        <v>23</v>
      </c>
    </row>
    <row r="2151" ht="20" customHeight="1" spans="1:7" x14ac:dyDescent="0.25">
      <c r="A2151" s="20" t="s">
        <v>35</v>
      </c>
      <c r="B2151" s="21" t="s">
        <v>25</v>
      </c>
      <c r="C2151" s="21" t="s">
        <v>26</v>
      </c>
      <c r="D2151" s="21" t="s">
        <v>27</v>
      </c>
      <c r="E2151" s="22" t="s">
        <v>23</v>
      </c>
      <c r="F2151" s="20" t="s">
        <v>27</v>
      </c>
      <c r="G2151" s="20" t="s">
        <v>27</v>
      </c>
    </row>
    <row r="2152" ht="22" customHeight="1" spans="1:7" x14ac:dyDescent="0.25">
      <c r="A2152" s="16" t="s">
        <v>36</v>
      </c>
      <c r="B2152" s="17" t="s">
        <v>63</v>
      </c>
      <c r="C2152" s="17" t="s">
        <v>830</v>
      </c>
      <c r="D2152" s="17" t="s">
        <v>65</v>
      </c>
      <c r="E2152" s="18">
        <v>18.2</v>
      </c>
      <c r="F2152" s="19" t="s">
        <v>22</v>
      </c>
      <c r="G2152" s="16" t="s">
        <v>23</v>
      </c>
    </row>
    <row r="2153" ht="24" customHeight="1" spans="1:7" x14ac:dyDescent="0.25">
      <c r="A2153" s="23" t="s">
        <v>38</v>
      </c>
      <c r="B2153" s="23" t="s">
        <v>39</v>
      </c>
      <c r="C2153" s="24" t="s">
        <v>40</v>
      </c>
      <c r="D2153" s="24" t="s">
        <v>41</v>
      </c>
      <c r="E2153" s="25">
        <f>SUM(E2146,E2148,E2150,E2152)</f>
        <v>110.9</v>
      </c>
      <c r="F2153" s="23" t="str">
        <f>ROUND(E2153/60, 1) &amp; " Saat"</f>
        <v>1.8 Saat</v>
      </c>
      <c r="G2153" s="23" t="str">
        <f>COUNTIF(G2146:G2152, "X") &amp; "/4"</f>
        <v>0/4</v>
      </c>
    </row>
    <row r="2154" ht="22" customHeight="1" spans="1:7" x14ac:dyDescent="0.25">
      <c r="A2154" s="15" t="s">
        <v>67</v>
      </c>
      <c r="B2154" s="15"/>
      <c r="C2154" s="15"/>
      <c r="D2154" s="15"/>
      <c r="E2154" s="15"/>
      <c r="F2154" s="15"/>
      <c r="G2154" s="15"/>
    </row>
    <row r="2155" ht="22" customHeight="1" spans="1:7" x14ac:dyDescent="0.25">
      <c r="A2155" s="16" t="s">
        <v>18</v>
      </c>
      <c r="B2155" s="17" t="s">
        <v>68</v>
      </c>
      <c r="C2155" s="17" t="s">
        <v>831</v>
      </c>
      <c r="D2155" s="17" t="s">
        <v>70</v>
      </c>
      <c r="E2155" s="18">
        <v>77.3</v>
      </c>
      <c r="F2155" s="19" t="s">
        <v>22</v>
      </c>
      <c r="G2155" s="16" t="s">
        <v>23</v>
      </c>
    </row>
    <row r="2156" ht="20" customHeight="1" spans="1:7" x14ac:dyDescent="0.25">
      <c r="A2156" s="20" t="s">
        <v>24</v>
      </c>
      <c r="B2156" s="21" t="s">
        <v>25</v>
      </c>
      <c r="C2156" s="21" t="s">
        <v>26</v>
      </c>
      <c r="D2156" s="21" t="s">
        <v>27</v>
      </c>
      <c r="E2156" s="22" t="s">
        <v>23</v>
      </c>
      <c r="F2156" s="20" t="s">
        <v>27</v>
      </c>
      <c r="G2156" s="20" t="s">
        <v>27</v>
      </c>
    </row>
    <row r="2157" ht="22" customHeight="1" spans="1:7" x14ac:dyDescent="0.25">
      <c r="A2157" s="16" t="s">
        <v>28</v>
      </c>
      <c r="B2157" s="17" t="s">
        <v>68</v>
      </c>
      <c r="C2157" s="17" t="s">
        <v>832</v>
      </c>
      <c r="D2157" s="17" t="s">
        <v>70</v>
      </c>
      <c r="E2157" s="18">
        <v>5.7</v>
      </c>
      <c r="F2157" s="19" t="s">
        <v>22</v>
      </c>
      <c r="G2157" s="16" t="s">
        <v>23</v>
      </c>
    </row>
    <row r="2158" ht="20" customHeight="1" spans="1:7" x14ac:dyDescent="0.25">
      <c r="A2158" s="20" t="s">
        <v>30</v>
      </c>
      <c r="B2158" s="21" t="s">
        <v>25</v>
      </c>
      <c r="C2158" s="21" t="s">
        <v>26</v>
      </c>
      <c r="D2158" s="21" t="s">
        <v>27</v>
      </c>
      <c r="E2158" s="22" t="s">
        <v>23</v>
      </c>
      <c r="F2158" s="20" t="s">
        <v>27</v>
      </c>
      <c r="G2158" s="20" t="s">
        <v>27</v>
      </c>
    </row>
    <row r="2159" ht="22" customHeight="1" spans="1:7" x14ac:dyDescent="0.25">
      <c r="A2159" s="16" t="s">
        <v>31</v>
      </c>
      <c r="B2159" s="17" t="s">
        <v>449</v>
      </c>
      <c r="C2159" s="17" t="s">
        <v>833</v>
      </c>
      <c r="D2159" s="17" t="s">
        <v>34</v>
      </c>
      <c r="E2159" s="18">
        <v>24.9</v>
      </c>
      <c r="F2159" s="19" t="s">
        <v>22</v>
      </c>
      <c r="G2159" s="16" t="s">
        <v>23</v>
      </c>
    </row>
    <row r="2160" ht="20" customHeight="1" spans="1:7" x14ac:dyDescent="0.25">
      <c r="A2160" s="20" t="s">
        <v>35</v>
      </c>
      <c r="B2160" s="21" t="s">
        <v>25</v>
      </c>
      <c r="C2160" s="21" t="s">
        <v>26</v>
      </c>
      <c r="D2160" s="21" t="s">
        <v>27</v>
      </c>
      <c r="E2160" s="22" t="s">
        <v>23</v>
      </c>
      <c r="F2160" s="20" t="s">
        <v>27</v>
      </c>
      <c r="G2160" s="20" t="s">
        <v>27</v>
      </c>
    </row>
    <row r="2161" ht="22" customHeight="1" spans="1:7" x14ac:dyDescent="0.25">
      <c r="A2161" s="16" t="s">
        <v>36</v>
      </c>
      <c r="B2161" s="17" t="s">
        <v>449</v>
      </c>
      <c r="C2161" s="17" t="s">
        <v>834</v>
      </c>
      <c r="D2161" s="17" t="s">
        <v>34</v>
      </c>
      <c r="E2161" s="18">
        <v>57.5</v>
      </c>
      <c r="F2161" s="19" t="s">
        <v>22</v>
      </c>
      <c r="G2161" s="16" t="s">
        <v>23</v>
      </c>
    </row>
    <row r="2162" ht="24" customHeight="1" spans="1:7" x14ac:dyDescent="0.25">
      <c r="A2162" s="23" t="s">
        <v>38</v>
      </c>
      <c r="B2162" s="23" t="s">
        <v>39</v>
      </c>
      <c r="C2162" s="24" t="s">
        <v>40</v>
      </c>
      <c r="D2162" s="24" t="s">
        <v>41</v>
      </c>
      <c r="E2162" s="25">
        <f>SUM(E2155,E2157,E2159,E2161)</f>
        <v>165.4</v>
      </c>
      <c r="F2162" s="23" t="str">
        <f>ROUND(E2162/60, 1) &amp; " Saat"</f>
        <v>2.8 Saat</v>
      </c>
      <c r="G2162" s="23" t="str">
        <f>COUNTIF(G2155:G2161, "X") &amp; "/4"</f>
        <v>0/4</v>
      </c>
    </row>
    <row r="2163" ht="22" customHeight="1" spans="1:7" x14ac:dyDescent="0.25">
      <c r="A2163" s="15" t="s">
        <v>74</v>
      </c>
      <c r="B2163" s="15"/>
      <c r="C2163" s="15"/>
      <c r="D2163" s="15"/>
      <c r="E2163" s="15"/>
      <c r="F2163" s="15"/>
      <c r="G2163" s="15"/>
    </row>
    <row r="2164" ht="22" customHeight="1" spans="1:7" x14ac:dyDescent="0.25">
      <c r="A2164" s="16" t="s">
        <v>18</v>
      </c>
      <c r="B2164" s="17" t="s">
        <v>47</v>
      </c>
      <c r="C2164" s="17" t="s">
        <v>835</v>
      </c>
      <c r="D2164" s="17" t="s">
        <v>49</v>
      </c>
      <c r="E2164" s="18">
        <v>30.4</v>
      </c>
      <c r="F2164" s="19" t="s">
        <v>22</v>
      </c>
      <c r="G2164" s="16" t="s">
        <v>23</v>
      </c>
    </row>
    <row r="2165" ht="20" customHeight="1" spans="1:7" x14ac:dyDescent="0.25">
      <c r="A2165" s="20" t="s">
        <v>24</v>
      </c>
      <c r="B2165" s="21" t="s">
        <v>25</v>
      </c>
      <c r="C2165" s="21" t="s">
        <v>26</v>
      </c>
      <c r="D2165" s="21" t="s">
        <v>27</v>
      </c>
      <c r="E2165" s="22" t="s">
        <v>23</v>
      </c>
      <c r="F2165" s="20" t="s">
        <v>27</v>
      </c>
      <c r="G2165" s="20" t="s">
        <v>27</v>
      </c>
    </row>
    <row r="2166" ht="22" customHeight="1" spans="1:7" x14ac:dyDescent="0.25">
      <c r="A2166" s="16" t="s">
        <v>28</v>
      </c>
      <c r="B2166" s="17" t="s">
        <v>47</v>
      </c>
      <c r="C2166" s="17" t="s">
        <v>836</v>
      </c>
      <c r="D2166" s="17" t="s">
        <v>49</v>
      </c>
      <c r="E2166" s="18">
        <v>27.6</v>
      </c>
      <c r="F2166" s="19" t="s">
        <v>22</v>
      </c>
      <c r="G2166" s="16" t="s">
        <v>23</v>
      </c>
    </row>
    <row r="2167" ht="20" customHeight="1" spans="1:7" x14ac:dyDescent="0.25">
      <c r="A2167" s="20" t="s">
        <v>30</v>
      </c>
      <c r="B2167" s="21" t="s">
        <v>25</v>
      </c>
      <c r="C2167" s="21" t="s">
        <v>26</v>
      </c>
      <c r="D2167" s="21" t="s">
        <v>27</v>
      </c>
      <c r="E2167" s="22" t="s">
        <v>23</v>
      </c>
      <c r="F2167" s="20" t="s">
        <v>27</v>
      </c>
      <c r="G2167" s="20" t="s">
        <v>27</v>
      </c>
    </row>
    <row r="2168" ht="22" customHeight="1" spans="1:7" x14ac:dyDescent="0.25">
      <c r="A2168" s="16" t="s">
        <v>31</v>
      </c>
      <c r="B2168" s="17" t="s">
        <v>568</v>
      </c>
      <c r="C2168" s="17" t="s">
        <v>467</v>
      </c>
      <c r="D2168" s="17" t="s">
        <v>23</v>
      </c>
      <c r="E2168" s="18">
        <v>40</v>
      </c>
      <c r="F2168" s="16" t="s">
        <v>27</v>
      </c>
      <c r="G2168" s="16" t="s">
        <v>23</v>
      </c>
    </row>
    <row r="2169" ht="20" customHeight="1" spans="1:7" x14ac:dyDescent="0.25">
      <c r="A2169" s="20" t="s">
        <v>35</v>
      </c>
      <c r="B2169" s="21" t="s">
        <v>25</v>
      </c>
      <c r="C2169" s="21" t="s">
        <v>26</v>
      </c>
      <c r="D2169" s="21" t="s">
        <v>27</v>
      </c>
      <c r="E2169" s="22" t="s">
        <v>23</v>
      </c>
      <c r="F2169" s="20" t="s">
        <v>27</v>
      </c>
      <c r="G2169" s="20" t="s">
        <v>27</v>
      </c>
    </row>
    <row r="2170" ht="22" customHeight="1" spans="1:7" x14ac:dyDescent="0.25">
      <c r="A2170" s="16" t="s">
        <v>36</v>
      </c>
      <c r="B2170" s="17" t="s">
        <v>568</v>
      </c>
      <c r="C2170" s="17" t="s">
        <v>467</v>
      </c>
      <c r="D2170" s="17" t="s">
        <v>23</v>
      </c>
      <c r="E2170" s="18">
        <v>40</v>
      </c>
      <c r="F2170" s="16" t="s">
        <v>27</v>
      </c>
      <c r="G2170" s="16" t="s">
        <v>23</v>
      </c>
    </row>
    <row r="2171" ht="24" customHeight="1" spans="1:7" x14ac:dyDescent="0.25">
      <c r="A2171" s="23" t="s">
        <v>38</v>
      </c>
      <c r="B2171" s="23" t="s">
        <v>39</v>
      </c>
      <c r="C2171" s="24" t="s">
        <v>40</v>
      </c>
      <c r="D2171" s="24" t="s">
        <v>41</v>
      </c>
      <c r="E2171" s="25">
        <f>SUM(E2164,E2166,E2168,E2170)</f>
        <v>138</v>
      </c>
      <c r="F2171" s="23" t="str">
        <f>ROUND(E2171/60, 1) &amp; " Saat"</f>
        <v>2.3 Saat</v>
      </c>
      <c r="G2171" s="23" t="str">
        <f>COUNTIF(G2164:G2170, "X") &amp; "/4"</f>
        <v>0/4</v>
      </c>
    </row>
    <row r="2172" ht="28" customHeight="1" spans="1:7" x14ac:dyDescent="0.25">
      <c r="A2172" s="26" t="s">
        <v>79</v>
      </c>
      <c r="B2172" s="26"/>
      <c r="C2172" s="26"/>
      <c r="D2172" s="26"/>
      <c r="E2172" s="26"/>
      <c r="F2172" s="26"/>
      <c r="G2172" s="26"/>
    </row>
    <row r="2173" ht="8" customHeight="1" x14ac:dyDescent="0.25"/>
    <row r="2174" ht="25" customHeight="1" spans="1:7" x14ac:dyDescent="0.25">
      <c r="A2174" s="14" t="s">
        <v>837</v>
      </c>
      <c r="B2174" s="14"/>
      <c r="C2174" s="14"/>
      <c r="D2174" s="14"/>
      <c r="E2174" s="14"/>
      <c r="F2174" s="14"/>
      <c r="G2174" s="14"/>
    </row>
    <row r="2175" ht="22" customHeight="1" spans="1:7" x14ac:dyDescent="0.25">
      <c r="A2175" s="15" t="s">
        <v>17</v>
      </c>
      <c r="B2175" s="15"/>
      <c r="C2175" s="15"/>
      <c r="D2175" s="15"/>
      <c r="E2175" s="15"/>
      <c r="F2175" s="15"/>
      <c r="G2175" s="15"/>
    </row>
    <row r="2176" ht="22" customHeight="1" spans="1:7" x14ac:dyDescent="0.25">
      <c r="A2176" s="16" t="s">
        <v>18</v>
      </c>
      <c r="B2176" s="17" t="s">
        <v>19</v>
      </c>
      <c r="C2176" s="17" t="s">
        <v>467</v>
      </c>
      <c r="D2176" s="17" t="s">
        <v>23</v>
      </c>
      <c r="E2176" s="18">
        <v>40</v>
      </c>
      <c r="F2176" s="16" t="s">
        <v>27</v>
      </c>
      <c r="G2176" s="16" t="s">
        <v>23</v>
      </c>
    </row>
    <row r="2177" ht="20" customHeight="1" spans="1:7" x14ac:dyDescent="0.25">
      <c r="A2177" s="20" t="s">
        <v>24</v>
      </c>
      <c r="B2177" s="21" t="s">
        <v>25</v>
      </c>
      <c r="C2177" s="21" t="s">
        <v>26</v>
      </c>
      <c r="D2177" s="21" t="s">
        <v>27</v>
      </c>
      <c r="E2177" s="22" t="s">
        <v>23</v>
      </c>
      <c r="F2177" s="20" t="s">
        <v>27</v>
      </c>
      <c r="G2177" s="20" t="s">
        <v>27</v>
      </c>
    </row>
    <row r="2178" ht="22" customHeight="1" spans="1:7" x14ac:dyDescent="0.25">
      <c r="A2178" s="16" t="s">
        <v>28</v>
      </c>
      <c r="B2178" s="17" t="s">
        <v>19</v>
      </c>
      <c r="C2178" s="17" t="s">
        <v>467</v>
      </c>
      <c r="D2178" s="17" t="s">
        <v>23</v>
      </c>
      <c r="E2178" s="18">
        <v>40</v>
      </c>
      <c r="F2178" s="16" t="s">
        <v>27</v>
      </c>
      <c r="G2178" s="16" t="s">
        <v>23</v>
      </c>
    </row>
    <row r="2179" ht="20" customHeight="1" spans="1:7" x14ac:dyDescent="0.25">
      <c r="A2179" s="20" t="s">
        <v>30</v>
      </c>
      <c r="B2179" s="21" t="s">
        <v>25</v>
      </c>
      <c r="C2179" s="21" t="s">
        <v>26</v>
      </c>
      <c r="D2179" s="21" t="s">
        <v>27</v>
      </c>
      <c r="E2179" s="22" t="s">
        <v>23</v>
      </c>
      <c r="F2179" s="20" t="s">
        <v>27</v>
      </c>
      <c r="G2179" s="20" t="s">
        <v>27</v>
      </c>
    </row>
    <row r="2180" ht="22" customHeight="1" spans="1:7" x14ac:dyDescent="0.25">
      <c r="A2180" s="16" t="s">
        <v>31</v>
      </c>
      <c r="B2180" s="17" t="s">
        <v>32</v>
      </c>
      <c r="C2180" s="17" t="s">
        <v>467</v>
      </c>
      <c r="D2180" s="17" t="s">
        <v>23</v>
      </c>
      <c r="E2180" s="18">
        <v>40</v>
      </c>
      <c r="F2180" s="16" t="s">
        <v>27</v>
      </c>
      <c r="G2180" s="16" t="s">
        <v>23</v>
      </c>
    </row>
    <row r="2181" ht="20" customHeight="1" spans="1:7" x14ac:dyDescent="0.25">
      <c r="A2181" s="20" t="s">
        <v>35</v>
      </c>
      <c r="B2181" s="21" t="s">
        <v>25</v>
      </c>
      <c r="C2181" s="21" t="s">
        <v>26</v>
      </c>
      <c r="D2181" s="21" t="s">
        <v>27</v>
      </c>
      <c r="E2181" s="22" t="s">
        <v>23</v>
      </c>
      <c r="F2181" s="20" t="s">
        <v>27</v>
      </c>
      <c r="G2181" s="20" t="s">
        <v>27</v>
      </c>
    </row>
    <row r="2182" ht="22" customHeight="1" spans="1:7" x14ac:dyDescent="0.25">
      <c r="A2182" s="16" t="s">
        <v>36</v>
      </c>
      <c r="B2182" s="17" t="s">
        <v>32</v>
      </c>
      <c r="C2182" s="17" t="s">
        <v>467</v>
      </c>
      <c r="D2182" s="17" t="s">
        <v>23</v>
      </c>
      <c r="E2182" s="18">
        <v>40</v>
      </c>
      <c r="F2182" s="16" t="s">
        <v>27</v>
      </c>
      <c r="G2182" s="16" t="s">
        <v>23</v>
      </c>
    </row>
    <row r="2183" ht="24" customHeight="1" spans="1:7" x14ac:dyDescent="0.25">
      <c r="A2183" s="23" t="s">
        <v>38</v>
      </c>
      <c r="B2183" s="23" t="s">
        <v>39</v>
      </c>
      <c r="C2183" s="24" t="s">
        <v>40</v>
      </c>
      <c r="D2183" s="24" t="s">
        <v>41</v>
      </c>
      <c r="E2183" s="25">
        <f>SUM(E2176,E2178,E2180,E2182)</f>
        <v>160</v>
      </c>
      <c r="F2183" s="23" t="str">
        <f>ROUND(E2183/60, 1) &amp; " Saat"</f>
        <v>2.7 Saat</v>
      </c>
      <c r="G2183" s="23" t="str">
        <f>COUNTIF(G2176:G2182, "X") &amp; "/4"</f>
        <v>0/4</v>
      </c>
    </row>
    <row r="2184" ht="22" customHeight="1" spans="1:7" x14ac:dyDescent="0.25">
      <c r="A2184" s="15" t="s">
        <v>42</v>
      </c>
      <c r="B2184" s="15"/>
      <c r="C2184" s="15"/>
      <c r="D2184" s="15"/>
      <c r="E2184" s="15"/>
      <c r="F2184" s="15"/>
      <c r="G2184" s="15"/>
    </row>
    <row r="2185" ht="22" customHeight="1" spans="1:7" x14ac:dyDescent="0.25">
      <c r="A2185" s="16" t="s">
        <v>18</v>
      </c>
      <c r="B2185" s="17" t="s">
        <v>43</v>
      </c>
      <c r="C2185" s="17" t="s">
        <v>467</v>
      </c>
      <c r="D2185" s="17" t="s">
        <v>23</v>
      </c>
      <c r="E2185" s="18">
        <v>40</v>
      </c>
      <c r="F2185" s="16" t="s">
        <v>27</v>
      </c>
      <c r="G2185" s="16" t="s">
        <v>23</v>
      </c>
    </row>
    <row r="2186" ht="20" customHeight="1" spans="1:7" x14ac:dyDescent="0.25">
      <c r="A2186" s="20" t="s">
        <v>24</v>
      </c>
      <c r="B2186" s="21" t="s">
        <v>25</v>
      </c>
      <c r="C2186" s="21" t="s">
        <v>26</v>
      </c>
      <c r="D2186" s="21" t="s">
        <v>27</v>
      </c>
      <c r="E2186" s="22" t="s">
        <v>23</v>
      </c>
      <c r="F2186" s="20" t="s">
        <v>27</v>
      </c>
      <c r="G2186" s="20" t="s">
        <v>27</v>
      </c>
    </row>
    <row r="2187" ht="22" customHeight="1" spans="1:7" x14ac:dyDescent="0.25">
      <c r="A2187" s="16" t="s">
        <v>28</v>
      </c>
      <c r="B2187" s="17" t="s">
        <v>43</v>
      </c>
      <c r="C2187" s="17" t="s">
        <v>467</v>
      </c>
      <c r="D2187" s="17" t="s">
        <v>23</v>
      </c>
      <c r="E2187" s="18">
        <v>40</v>
      </c>
      <c r="F2187" s="16" t="s">
        <v>27</v>
      </c>
      <c r="G2187" s="16" t="s">
        <v>23</v>
      </c>
    </row>
    <row r="2188" ht="20" customHeight="1" spans="1:7" x14ac:dyDescent="0.25">
      <c r="A2188" s="20" t="s">
        <v>30</v>
      </c>
      <c r="B2188" s="21" t="s">
        <v>25</v>
      </c>
      <c r="C2188" s="21" t="s">
        <v>26</v>
      </c>
      <c r="D2188" s="21" t="s">
        <v>27</v>
      </c>
      <c r="E2188" s="22" t="s">
        <v>23</v>
      </c>
      <c r="F2188" s="20" t="s">
        <v>27</v>
      </c>
      <c r="G2188" s="20" t="s">
        <v>27</v>
      </c>
    </row>
    <row r="2189" ht="22" customHeight="1" spans="1:7" x14ac:dyDescent="0.25">
      <c r="A2189" s="16" t="s">
        <v>31</v>
      </c>
      <c r="B2189" s="17" t="s">
        <v>47</v>
      </c>
      <c r="C2189" s="17" t="s">
        <v>838</v>
      </c>
      <c r="D2189" s="17" t="s">
        <v>49</v>
      </c>
      <c r="E2189" s="18">
        <v>41.9</v>
      </c>
      <c r="F2189" s="19" t="s">
        <v>22</v>
      </c>
      <c r="G2189" s="16" t="s">
        <v>23</v>
      </c>
    </row>
    <row r="2190" ht="20" customHeight="1" spans="1:7" x14ac:dyDescent="0.25">
      <c r="A2190" s="20" t="s">
        <v>35</v>
      </c>
      <c r="B2190" s="21" t="s">
        <v>25</v>
      </c>
      <c r="C2190" s="21" t="s">
        <v>26</v>
      </c>
      <c r="D2190" s="21" t="s">
        <v>27</v>
      </c>
      <c r="E2190" s="22" t="s">
        <v>23</v>
      </c>
      <c r="F2190" s="20" t="s">
        <v>27</v>
      </c>
      <c r="G2190" s="20" t="s">
        <v>27</v>
      </c>
    </row>
    <row r="2191" ht="22" customHeight="1" spans="1:7" x14ac:dyDescent="0.25">
      <c r="A2191" s="16" t="s">
        <v>36</v>
      </c>
      <c r="B2191" s="17" t="s">
        <v>47</v>
      </c>
      <c r="C2191" s="17" t="s">
        <v>839</v>
      </c>
      <c r="D2191" s="17" t="s">
        <v>49</v>
      </c>
      <c r="E2191" s="18">
        <v>57.4</v>
      </c>
      <c r="F2191" s="19" t="s">
        <v>22</v>
      </c>
      <c r="G2191" s="16" t="s">
        <v>23</v>
      </c>
    </row>
    <row r="2192" ht="24" customHeight="1" spans="1:7" x14ac:dyDescent="0.25">
      <c r="A2192" s="23" t="s">
        <v>38</v>
      </c>
      <c r="B2192" s="23" t="s">
        <v>39</v>
      </c>
      <c r="C2192" s="24" t="s">
        <v>40</v>
      </c>
      <c r="D2192" s="24" t="s">
        <v>41</v>
      </c>
      <c r="E2192" s="25">
        <f>SUM(E2185,E2187,E2189,E2191)</f>
        <v>179.3</v>
      </c>
      <c r="F2192" s="23" t="str">
        <f>ROUND(E2192/60, 1) &amp; " Saat"</f>
        <v>3.0 Saat</v>
      </c>
      <c r="G2192" s="23" t="str">
        <f>COUNTIF(G2185:G2191, "X") &amp; "/4"</f>
        <v>0/4</v>
      </c>
    </row>
    <row r="2193" ht="22" customHeight="1" spans="1:7" x14ac:dyDescent="0.25">
      <c r="A2193" s="15" t="s">
        <v>51</v>
      </c>
      <c r="B2193" s="15"/>
      <c r="C2193" s="15"/>
      <c r="D2193" s="15"/>
      <c r="E2193" s="15"/>
      <c r="F2193" s="15"/>
      <c r="G2193" s="15"/>
    </row>
    <row r="2194" ht="22" customHeight="1" spans="1:7" x14ac:dyDescent="0.25">
      <c r="A2194" s="16" t="s">
        <v>18</v>
      </c>
      <c r="B2194" s="17" t="s">
        <v>52</v>
      </c>
      <c r="C2194" s="17" t="s">
        <v>467</v>
      </c>
      <c r="D2194" s="17" t="s">
        <v>23</v>
      </c>
      <c r="E2194" s="18">
        <v>40</v>
      </c>
      <c r="F2194" s="16" t="s">
        <v>27</v>
      </c>
      <c r="G2194" s="16" t="s">
        <v>23</v>
      </c>
    </row>
    <row r="2195" ht="20" customHeight="1" spans="1:7" x14ac:dyDescent="0.25">
      <c r="A2195" s="20" t="s">
        <v>24</v>
      </c>
      <c r="B2195" s="21" t="s">
        <v>25</v>
      </c>
      <c r="C2195" s="21" t="s">
        <v>26</v>
      </c>
      <c r="D2195" s="21" t="s">
        <v>27</v>
      </c>
      <c r="E2195" s="22" t="s">
        <v>23</v>
      </c>
      <c r="F2195" s="20" t="s">
        <v>27</v>
      </c>
      <c r="G2195" s="20" t="s">
        <v>27</v>
      </c>
    </row>
    <row r="2196" ht="22" customHeight="1" spans="1:7" x14ac:dyDescent="0.25">
      <c r="A2196" s="16" t="s">
        <v>28</v>
      </c>
      <c r="B2196" s="17" t="s">
        <v>52</v>
      </c>
      <c r="C2196" s="17" t="s">
        <v>467</v>
      </c>
      <c r="D2196" s="17" t="s">
        <v>23</v>
      </c>
      <c r="E2196" s="18">
        <v>40</v>
      </c>
      <c r="F2196" s="16" t="s">
        <v>27</v>
      </c>
      <c r="G2196" s="16" t="s">
        <v>23</v>
      </c>
    </row>
    <row r="2197" ht="20" customHeight="1" spans="1:7" x14ac:dyDescent="0.25">
      <c r="A2197" s="20" t="s">
        <v>30</v>
      </c>
      <c r="B2197" s="21" t="s">
        <v>25</v>
      </c>
      <c r="C2197" s="21" t="s">
        <v>26</v>
      </c>
      <c r="D2197" s="21" t="s">
        <v>27</v>
      </c>
      <c r="E2197" s="22" t="s">
        <v>23</v>
      </c>
      <c r="F2197" s="20" t="s">
        <v>27</v>
      </c>
      <c r="G2197" s="20" t="s">
        <v>27</v>
      </c>
    </row>
    <row r="2198" ht="22" customHeight="1" spans="1:7" x14ac:dyDescent="0.25">
      <c r="A2198" s="16" t="s">
        <v>31</v>
      </c>
      <c r="B2198" s="17" t="s">
        <v>56</v>
      </c>
      <c r="C2198" s="17" t="s">
        <v>467</v>
      </c>
      <c r="D2198" s="17" t="s">
        <v>23</v>
      </c>
      <c r="E2198" s="18">
        <v>40</v>
      </c>
      <c r="F2198" s="16" t="s">
        <v>27</v>
      </c>
      <c r="G2198" s="16" t="s">
        <v>23</v>
      </c>
    </row>
    <row r="2199" ht="20" customHeight="1" spans="1:7" x14ac:dyDescent="0.25">
      <c r="A2199" s="20" t="s">
        <v>35</v>
      </c>
      <c r="B2199" s="21" t="s">
        <v>25</v>
      </c>
      <c r="C2199" s="21" t="s">
        <v>26</v>
      </c>
      <c r="D2199" s="21" t="s">
        <v>27</v>
      </c>
      <c r="E2199" s="22" t="s">
        <v>23</v>
      </c>
      <c r="F2199" s="20" t="s">
        <v>27</v>
      </c>
      <c r="G2199" s="20" t="s">
        <v>27</v>
      </c>
    </row>
    <row r="2200" ht="22" customHeight="1" spans="1:7" x14ac:dyDescent="0.25">
      <c r="A2200" s="16" t="s">
        <v>36</v>
      </c>
      <c r="B2200" s="17" t="s">
        <v>56</v>
      </c>
      <c r="C2200" s="17" t="s">
        <v>467</v>
      </c>
      <c r="D2200" s="17" t="s">
        <v>23</v>
      </c>
      <c r="E2200" s="18">
        <v>40</v>
      </c>
      <c r="F2200" s="16" t="s">
        <v>27</v>
      </c>
      <c r="G2200" s="16" t="s">
        <v>23</v>
      </c>
    </row>
    <row r="2201" ht="24" customHeight="1" spans="1:7" x14ac:dyDescent="0.25">
      <c r="A2201" s="23" t="s">
        <v>38</v>
      </c>
      <c r="B2201" s="23" t="s">
        <v>39</v>
      </c>
      <c r="C2201" s="24" t="s">
        <v>40</v>
      </c>
      <c r="D2201" s="24" t="s">
        <v>41</v>
      </c>
      <c r="E2201" s="25">
        <f>SUM(E2194,E2196,E2198,E2200)</f>
        <v>160</v>
      </c>
      <c r="F2201" s="23" t="str">
        <f>ROUND(E2201/60, 1) &amp; " Saat"</f>
        <v>2.7 Saat</v>
      </c>
      <c r="G2201" s="23" t="str">
        <f>COUNTIF(G2194:G2200, "X") &amp; "/4"</f>
        <v>0/4</v>
      </c>
    </row>
    <row r="2202" ht="22" customHeight="1" spans="1:7" x14ac:dyDescent="0.25">
      <c r="A2202" s="15" t="s">
        <v>60</v>
      </c>
      <c r="B2202" s="15"/>
      <c r="C2202" s="15"/>
      <c r="D2202" s="15"/>
      <c r="E2202" s="15"/>
      <c r="F2202" s="15"/>
      <c r="G2202" s="15"/>
    </row>
    <row r="2203" ht="22" customHeight="1" spans="1:7" x14ac:dyDescent="0.25">
      <c r="A2203" s="16" t="s">
        <v>18</v>
      </c>
      <c r="B2203" s="17" t="s">
        <v>43</v>
      </c>
      <c r="C2203" s="17" t="s">
        <v>467</v>
      </c>
      <c r="D2203" s="17" t="s">
        <v>23</v>
      </c>
      <c r="E2203" s="18">
        <v>40</v>
      </c>
      <c r="F2203" s="16" t="s">
        <v>27</v>
      </c>
      <c r="G2203" s="16" t="s">
        <v>23</v>
      </c>
    </row>
    <row r="2204" ht="20" customHeight="1" spans="1:7" x14ac:dyDescent="0.25">
      <c r="A2204" s="20" t="s">
        <v>24</v>
      </c>
      <c r="B2204" s="21" t="s">
        <v>25</v>
      </c>
      <c r="C2204" s="21" t="s">
        <v>26</v>
      </c>
      <c r="D2204" s="21" t="s">
        <v>27</v>
      </c>
      <c r="E2204" s="22" t="s">
        <v>23</v>
      </c>
      <c r="F2204" s="20" t="s">
        <v>27</v>
      </c>
      <c r="G2204" s="20" t="s">
        <v>27</v>
      </c>
    </row>
    <row r="2205" ht="22" customHeight="1" spans="1:7" x14ac:dyDescent="0.25">
      <c r="A2205" s="16" t="s">
        <v>28</v>
      </c>
      <c r="B2205" s="17" t="s">
        <v>43</v>
      </c>
      <c r="C2205" s="17" t="s">
        <v>467</v>
      </c>
      <c r="D2205" s="17" t="s">
        <v>23</v>
      </c>
      <c r="E2205" s="18">
        <v>40</v>
      </c>
      <c r="F2205" s="16" t="s">
        <v>27</v>
      </c>
      <c r="G2205" s="16" t="s">
        <v>23</v>
      </c>
    </row>
    <row r="2206" ht="20" customHeight="1" spans="1:7" x14ac:dyDescent="0.25">
      <c r="A2206" s="20" t="s">
        <v>30</v>
      </c>
      <c r="B2206" s="21" t="s">
        <v>25</v>
      </c>
      <c r="C2206" s="21" t="s">
        <v>26</v>
      </c>
      <c r="D2206" s="21" t="s">
        <v>27</v>
      </c>
      <c r="E2206" s="22" t="s">
        <v>23</v>
      </c>
      <c r="F2206" s="20" t="s">
        <v>27</v>
      </c>
      <c r="G2206" s="20" t="s">
        <v>27</v>
      </c>
    </row>
    <row r="2207" ht="22" customHeight="1" spans="1:7" x14ac:dyDescent="0.25">
      <c r="A2207" s="16" t="s">
        <v>31</v>
      </c>
      <c r="B2207" s="17" t="s">
        <v>63</v>
      </c>
      <c r="C2207" s="17" t="s">
        <v>840</v>
      </c>
      <c r="D2207" s="17" t="s">
        <v>65</v>
      </c>
      <c r="E2207" s="18">
        <v>7.8</v>
      </c>
      <c r="F2207" s="19" t="s">
        <v>22</v>
      </c>
      <c r="G2207" s="16" t="s">
        <v>23</v>
      </c>
    </row>
    <row r="2208" ht="20" customHeight="1" spans="1:7" x14ac:dyDescent="0.25">
      <c r="A2208" s="20" t="s">
        <v>35</v>
      </c>
      <c r="B2208" s="21" t="s">
        <v>25</v>
      </c>
      <c r="C2208" s="21" t="s">
        <v>26</v>
      </c>
      <c r="D2208" s="21" t="s">
        <v>27</v>
      </c>
      <c r="E2208" s="22" t="s">
        <v>23</v>
      </c>
      <c r="F2208" s="20" t="s">
        <v>27</v>
      </c>
      <c r="G2208" s="20" t="s">
        <v>27</v>
      </c>
    </row>
    <row r="2209" ht="22" customHeight="1" spans="1:7" x14ac:dyDescent="0.25">
      <c r="A2209" s="16" t="s">
        <v>36</v>
      </c>
      <c r="B2209" s="17" t="s">
        <v>63</v>
      </c>
      <c r="C2209" s="17" t="s">
        <v>841</v>
      </c>
      <c r="D2209" s="17" t="s">
        <v>65</v>
      </c>
      <c r="E2209" s="18">
        <v>24.1</v>
      </c>
      <c r="F2209" s="19" t="s">
        <v>22</v>
      </c>
      <c r="G2209" s="16" t="s">
        <v>23</v>
      </c>
    </row>
    <row r="2210" ht="24" customHeight="1" spans="1:7" x14ac:dyDescent="0.25">
      <c r="A2210" s="23" t="s">
        <v>38</v>
      </c>
      <c r="B2210" s="23" t="s">
        <v>39</v>
      </c>
      <c r="C2210" s="24" t="s">
        <v>40</v>
      </c>
      <c r="D2210" s="24" t="s">
        <v>41</v>
      </c>
      <c r="E2210" s="25">
        <f>SUM(E2203,E2205,E2207,E2209)</f>
        <v>111.9</v>
      </c>
      <c r="F2210" s="23" t="str">
        <f>ROUND(E2210/60, 1) &amp; " Saat"</f>
        <v>1.9 Saat</v>
      </c>
      <c r="G2210" s="23" t="str">
        <f>COUNTIF(G2203:G2209, "X") &amp; "/4"</f>
        <v>0/4</v>
      </c>
    </row>
    <row r="2211" ht="22" customHeight="1" spans="1:7" x14ac:dyDescent="0.25">
      <c r="A2211" s="15" t="s">
        <v>67</v>
      </c>
      <c r="B2211" s="15"/>
      <c r="C2211" s="15"/>
      <c r="D2211" s="15"/>
      <c r="E2211" s="15"/>
      <c r="F2211" s="15"/>
      <c r="G2211" s="15"/>
    </row>
    <row r="2212" ht="22" customHeight="1" spans="1:7" x14ac:dyDescent="0.25">
      <c r="A2212" s="16" t="s">
        <v>18</v>
      </c>
      <c r="B2212" s="17" t="s">
        <v>68</v>
      </c>
      <c r="C2212" s="17" t="s">
        <v>467</v>
      </c>
      <c r="D2212" s="17" t="s">
        <v>23</v>
      </c>
      <c r="E2212" s="18">
        <v>40</v>
      </c>
      <c r="F2212" s="16" t="s">
        <v>27</v>
      </c>
      <c r="G2212" s="16" t="s">
        <v>23</v>
      </c>
    </row>
    <row r="2213" ht="20" customHeight="1" spans="1:7" x14ac:dyDescent="0.25">
      <c r="A2213" s="20" t="s">
        <v>24</v>
      </c>
      <c r="B2213" s="21" t="s">
        <v>25</v>
      </c>
      <c r="C2213" s="21" t="s">
        <v>26</v>
      </c>
      <c r="D2213" s="21" t="s">
        <v>27</v>
      </c>
      <c r="E2213" s="22" t="s">
        <v>23</v>
      </c>
      <c r="F2213" s="20" t="s">
        <v>27</v>
      </c>
      <c r="G2213" s="20" t="s">
        <v>27</v>
      </c>
    </row>
    <row r="2214" ht="22" customHeight="1" spans="1:7" x14ac:dyDescent="0.25">
      <c r="A2214" s="16" t="s">
        <v>28</v>
      </c>
      <c r="B2214" s="17" t="s">
        <v>68</v>
      </c>
      <c r="C2214" s="17" t="s">
        <v>467</v>
      </c>
      <c r="D2214" s="17" t="s">
        <v>23</v>
      </c>
      <c r="E2214" s="18">
        <v>40</v>
      </c>
      <c r="F2214" s="16" t="s">
        <v>27</v>
      </c>
      <c r="G2214" s="16" t="s">
        <v>23</v>
      </c>
    </row>
    <row r="2215" ht="20" customHeight="1" spans="1:7" x14ac:dyDescent="0.25">
      <c r="A2215" s="20" t="s">
        <v>30</v>
      </c>
      <c r="B2215" s="21" t="s">
        <v>25</v>
      </c>
      <c r="C2215" s="21" t="s">
        <v>26</v>
      </c>
      <c r="D2215" s="21" t="s">
        <v>27</v>
      </c>
      <c r="E2215" s="22" t="s">
        <v>23</v>
      </c>
      <c r="F2215" s="20" t="s">
        <v>27</v>
      </c>
      <c r="G2215" s="20" t="s">
        <v>27</v>
      </c>
    </row>
    <row r="2216" ht="22" customHeight="1" spans="1:7" x14ac:dyDescent="0.25">
      <c r="A2216" s="16" t="s">
        <v>31</v>
      </c>
      <c r="B2216" s="17" t="s">
        <v>449</v>
      </c>
      <c r="C2216" s="17" t="s">
        <v>842</v>
      </c>
      <c r="D2216" s="17" t="s">
        <v>34</v>
      </c>
      <c r="E2216" s="18">
        <v>41.8</v>
      </c>
      <c r="F2216" s="19" t="s">
        <v>22</v>
      </c>
      <c r="G2216" s="16" t="s">
        <v>23</v>
      </c>
    </row>
    <row r="2217" ht="20" customHeight="1" spans="1:7" x14ac:dyDescent="0.25">
      <c r="A2217" s="20" t="s">
        <v>35</v>
      </c>
      <c r="B2217" s="21" t="s">
        <v>25</v>
      </c>
      <c r="C2217" s="21" t="s">
        <v>26</v>
      </c>
      <c r="D2217" s="21" t="s">
        <v>27</v>
      </c>
      <c r="E2217" s="22" t="s">
        <v>23</v>
      </c>
      <c r="F2217" s="20" t="s">
        <v>27</v>
      </c>
      <c r="G2217" s="20" t="s">
        <v>27</v>
      </c>
    </row>
    <row r="2218" ht="22" customHeight="1" spans="1:7" x14ac:dyDescent="0.25">
      <c r="A2218" s="16" t="s">
        <v>36</v>
      </c>
      <c r="B2218" s="17" t="s">
        <v>449</v>
      </c>
      <c r="C2218" s="17" t="s">
        <v>843</v>
      </c>
      <c r="D2218" s="17" t="s">
        <v>34</v>
      </c>
      <c r="E2218" s="18">
        <v>41.8</v>
      </c>
      <c r="F2218" s="19" t="s">
        <v>22</v>
      </c>
      <c r="G2218" s="16" t="s">
        <v>23</v>
      </c>
    </row>
    <row r="2219" ht="24" customHeight="1" spans="1:7" x14ac:dyDescent="0.25">
      <c r="A2219" s="23" t="s">
        <v>38</v>
      </c>
      <c r="B2219" s="23" t="s">
        <v>39</v>
      </c>
      <c r="C2219" s="24" t="s">
        <v>40</v>
      </c>
      <c r="D2219" s="24" t="s">
        <v>41</v>
      </c>
      <c r="E2219" s="25">
        <f>SUM(E2212,E2214,E2216,E2218)</f>
        <v>163.6</v>
      </c>
      <c r="F2219" s="23" t="str">
        <f>ROUND(E2219/60, 1) &amp; " Saat"</f>
        <v>2.7 Saat</v>
      </c>
      <c r="G2219" s="23" t="str">
        <f>COUNTIF(G2212:G2218, "X") &amp; "/4"</f>
        <v>0/4</v>
      </c>
    </row>
    <row r="2220" ht="22" customHeight="1" spans="1:7" x14ac:dyDescent="0.25">
      <c r="A2220" s="15" t="s">
        <v>74</v>
      </c>
      <c r="B2220" s="15"/>
      <c r="C2220" s="15"/>
      <c r="D2220" s="15"/>
      <c r="E2220" s="15"/>
      <c r="F2220" s="15"/>
      <c r="G2220" s="15"/>
    </row>
    <row r="2221" ht="22" customHeight="1" spans="1:7" x14ac:dyDescent="0.25">
      <c r="A2221" s="16" t="s">
        <v>18</v>
      </c>
      <c r="B2221" s="17" t="s">
        <v>47</v>
      </c>
      <c r="C2221" s="17" t="s">
        <v>844</v>
      </c>
      <c r="D2221" s="17" t="s">
        <v>49</v>
      </c>
      <c r="E2221" s="18">
        <v>45.7</v>
      </c>
      <c r="F2221" s="19" t="s">
        <v>22</v>
      </c>
      <c r="G2221" s="16" t="s">
        <v>23</v>
      </c>
    </row>
    <row r="2222" ht="20" customHeight="1" spans="1:7" x14ac:dyDescent="0.25">
      <c r="A2222" s="20" t="s">
        <v>24</v>
      </c>
      <c r="B2222" s="21" t="s">
        <v>25</v>
      </c>
      <c r="C2222" s="21" t="s">
        <v>26</v>
      </c>
      <c r="D2222" s="21" t="s">
        <v>27</v>
      </c>
      <c r="E2222" s="22" t="s">
        <v>23</v>
      </c>
      <c r="F2222" s="20" t="s">
        <v>27</v>
      </c>
      <c r="G2222" s="20" t="s">
        <v>27</v>
      </c>
    </row>
    <row r="2223" ht="22" customHeight="1" spans="1:7" x14ac:dyDescent="0.25">
      <c r="A2223" s="16" t="s">
        <v>28</v>
      </c>
      <c r="B2223" s="17" t="s">
        <v>47</v>
      </c>
      <c r="C2223" s="17" t="s">
        <v>845</v>
      </c>
      <c r="D2223" s="17" t="s">
        <v>49</v>
      </c>
      <c r="E2223" s="18">
        <v>38.6</v>
      </c>
      <c r="F2223" s="19" t="s">
        <v>22</v>
      </c>
      <c r="G2223" s="16" t="s">
        <v>23</v>
      </c>
    </row>
    <row r="2224" ht="20" customHeight="1" spans="1:7" x14ac:dyDescent="0.25">
      <c r="A2224" s="20" t="s">
        <v>30</v>
      </c>
      <c r="B2224" s="21" t="s">
        <v>25</v>
      </c>
      <c r="C2224" s="21" t="s">
        <v>26</v>
      </c>
      <c r="D2224" s="21" t="s">
        <v>27</v>
      </c>
      <c r="E2224" s="22" t="s">
        <v>23</v>
      </c>
      <c r="F2224" s="20" t="s">
        <v>27</v>
      </c>
      <c r="G2224" s="20" t="s">
        <v>27</v>
      </c>
    </row>
    <row r="2225" ht="22" customHeight="1" spans="1:7" x14ac:dyDescent="0.25">
      <c r="A2225" s="16" t="s">
        <v>31</v>
      </c>
      <c r="B2225" s="17" t="s">
        <v>568</v>
      </c>
      <c r="C2225" s="17" t="s">
        <v>467</v>
      </c>
      <c r="D2225" s="17" t="s">
        <v>23</v>
      </c>
      <c r="E2225" s="18">
        <v>40</v>
      </c>
      <c r="F2225" s="16" t="s">
        <v>27</v>
      </c>
      <c r="G2225" s="16" t="s">
        <v>23</v>
      </c>
    </row>
    <row r="2226" ht="20" customHeight="1" spans="1:7" x14ac:dyDescent="0.25">
      <c r="A2226" s="20" t="s">
        <v>35</v>
      </c>
      <c r="B2226" s="21" t="s">
        <v>25</v>
      </c>
      <c r="C2226" s="21" t="s">
        <v>26</v>
      </c>
      <c r="D2226" s="21" t="s">
        <v>27</v>
      </c>
      <c r="E2226" s="22" t="s">
        <v>23</v>
      </c>
      <c r="F2226" s="20" t="s">
        <v>27</v>
      </c>
      <c r="G2226" s="20" t="s">
        <v>27</v>
      </c>
    </row>
    <row r="2227" ht="22" customHeight="1" spans="1:7" x14ac:dyDescent="0.25">
      <c r="A2227" s="16" t="s">
        <v>36</v>
      </c>
      <c r="B2227" s="17" t="s">
        <v>568</v>
      </c>
      <c r="C2227" s="17" t="s">
        <v>467</v>
      </c>
      <c r="D2227" s="17" t="s">
        <v>23</v>
      </c>
      <c r="E2227" s="18">
        <v>40</v>
      </c>
      <c r="F2227" s="16" t="s">
        <v>27</v>
      </c>
      <c r="G2227" s="16" t="s">
        <v>23</v>
      </c>
    </row>
    <row r="2228" ht="24" customHeight="1" spans="1:7" x14ac:dyDescent="0.25">
      <c r="A2228" s="23" t="s">
        <v>38</v>
      </c>
      <c r="B2228" s="23" t="s">
        <v>39</v>
      </c>
      <c r="C2228" s="24" t="s">
        <v>40</v>
      </c>
      <c r="D2228" s="24" t="s">
        <v>41</v>
      </c>
      <c r="E2228" s="25">
        <f>SUM(E2221,E2223,E2225,E2227)</f>
        <v>164.3</v>
      </c>
      <c r="F2228" s="23" t="str">
        <f>ROUND(E2228/60, 1) &amp; " Saat"</f>
        <v>2.7 Saat</v>
      </c>
      <c r="G2228" s="23" t="str">
        <f>COUNTIF(G2221:G2227, "X") &amp; "/4"</f>
        <v>0/4</v>
      </c>
    </row>
    <row r="2229" ht="28" customHeight="1" spans="1:7" x14ac:dyDescent="0.25">
      <c r="A2229" s="26" t="s">
        <v>79</v>
      </c>
      <c r="B2229" s="26"/>
      <c r="C2229" s="26"/>
      <c r="D2229" s="26"/>
      <c r="E2229" s="26"/>
      <c r="F2229" s="26"/>
      <c r="G2229" s="26"/>
    </row>
    <row r="2230" ht="8" customHeight="1" x14ac:dyDescent="0.25"/>
    <row r="2231" ht="25" customHeight="1" spans="1:7" x14ac:dyDescent="0.25">
      <c r="A2231" s="14" t="s">
        <v>846</v>
      </c>
      <c r="B2231" s="14"/>
      <c r="C2231" s="14"/>
      <c r="D2231" s="14"/>
      <c r="E2231" s="14"/>
      <c r="F2231" s="14"/>
      <c r="G2231" s="14"/>
    </row>
    <row r="2232" ht="22" customHeight="1" spans="1:7" x14ac:dyDescent="0.25">
      <c r="A2232" s="15" t="s">
        <v>17</v>
      </c>
      <c r="B2232" s="15"/>
      <c r="C2232" s="15"/>
      <c r="D2232" s="15"/>
      <c r="E2232" s="15"/>
      <c r="F2232" s="15"/>
      <c r="G2232" s="15"/>
    </row>
    <row r="2233" ht="22" customHeight="1" spans="1:7" x14ac:dyDescent="0.25">
      <c r="A2233" s="16" t="s">
        <v>18</v>
      </c>
      <c r="B2233" s="17" t="s">
        <v>19</v>
      </c>
      <c r="C2233" s="17" t="s">
        <v>467</v>
      </c>
      <c r="D2233" s="17" t="s">
        <v>23</v>
      </c>
      <c r="E2233" s="18">
        <v>40</v>
      </c>
      <c r="F2233" s="16" t="s">
        <v>27</v>
      </c>
      <c r="G2233" s="16" t="s">
        <v>23</v>
      </c>
    </row>
    <row r="2234" ht="20" customHeight="1" spans="1:7" x14ac:dyDescent="0.25">
      <c r="A2234" s="20" t="s">
        <v>24</v>
      </c>
      <c r="B2234" s="21" t="s">
        <v>25</v>
      </c>
      <c r="C2234" s="21" t="s">
        <v>26</v>
      </c>
      <c r="D2234" s="21" t="s">
        <v>27</v>
      </c>
      <c r="E2234" s="22" t="s">
        <v>23</v>
      </c>
      <c r="F2234" s="20" t="s">
        <v>27</v>
      </c>
      <c r="G2234" s="20" t="s">
        <v>27</v>
      </c>
    </row>
    <row r="2235" ht="22" customHeight="1" spans="1:7" x14ac:dyDescent="0.25">
      <c r="A2235" s="16" t="s">
        <v>28</v>
      </c>
      <c r="B2235" s="17" t="s">
        <v>19</v>
      </c>
      <c r="C2235" s="17" t="s">
        <v>467</v>
      </c>
      <c r="D2235" s="17" t="s">
        <v>23</v>
      </c>
      <c r="E2235" s="18">
        <v>40</v>
      </c>
      <c r="F2235" s="16" t="s">
        <v>27</v>
      </c>
      <c r="G2235" s="16" t="s">
        <v>23</v>
      </c>
    </row>
    <row r="2236" ht="20" customHeight="1" spans="1:7" x14ac:dyDescent="0.25">
      <c r="A2236" s="20" t="s">
        <v>30</v>
      </c>
      <c r="B2236" s="21" t="s">
        <v>25</v>
      </c>
      <c r="C2236" s="21" t="s">
        <v>26</v>
      </c>
      <c r="D2236" s="21" t="s">
        <v>27</v>
      </c>
      <c r="E2236" s="22" t="s">
        <v>23</v>
      </c>
      <c r="F2236" s="20" t="s">
        <v>27</v>
      </c>
      <c r="G2236" s="20" t="s">
        <v>27</v>
      </c>
    </row>
    <row r="2237" ht="22" customHeight="1" spans="1:7" x14ac:dyDescent="0.25">
      <c r="A2237" s="16" t="s">
        <v>31</v>
      </c>
      <c r="B2237" s="17" t="s">
        <v>32</v>
      </c>
      <c r="C2237" s="17" t="s">
        <v>467</v>
      </c>
      <c r="D2237" s="17" t="s">
        <v>23</v>
      </c>
      <c r="E2237" s="18">
        <v>40</v>
      </c>
      <c r="F2237" s="16" t="s">
        <v>27</v>
      </c>
      <c r="G2237" s="16" t="s">
        <v>23</v>
      </c>
    </row>
    <row r="2238" ht="20" customHeight="1" spans="1:7" x14ac:dyDescent="0.25">
      <c r="A2238" s="20" t="s">
        <v>35</v>
      </c>
      <c r="B2238" s="21" t="s">
        <v>25</v>
      </c>
      <c r="C2238" s="21" t="s">
        <v>26</v>
      </c>
      <c r="D2238" s="21" t="s">
        <v>27</v>
      </c>
      <c r="E2238" s="22" t="s">
        <v>23</v>
      </c>
      <c r="F2238" s="20" t="s">
        <v>27</v>
      </c>
      <c r="G2238" s="20" t="s">
        <v>27</v>
      </c>
    </row>
    <row r="2239" ht="22" customHeight="1" spans="1:7" x14ac:dyDescent="0.25">
      <c r="A2239" s="16" t="s">
        <v>36</v>
      </c>
      <c r="B2239" s="17" t="s">
        <v>32</v>
      </c>
      <c r="C2239" s="17" t="s">
        <v>467</v>
      </c>
      <c r="D2239" s="17" t="s">
        <v>23</v>
      </c>
      <c r="E2239" s="18">
        <v>40</v>
      </c>
      <c r="F2239" s="16" t="s">
        <v>27</v>
      </c>
      <c r="G2239" s="16" t="s">
        <v>23</v>
      </c>
    </row>
    <row r="2240" ht="24" customHeight="1" spans="1:7" x14ac:dyDescent="0.25">
      <c r="A2240" s="23" t="s">
        <v>38</v>
      </c>
      <c r="B2240" s="23" t="s">
        <v>39</v>
      </c>
      <c r="C2240" s="24" t="s">
        <v>40</v>
      </c>
      <c r="D2240" s="24" t="s">
        <v>41</v>
      </c>
      <c r="E2240" s="25">
        <f>SUM(E2233,E2235,E2237,E2239)</f>
        <v>160</v>
      </c>
      <c r="F2240" s="23" t="str">
        <f>ROUND(E2240/60, 1) &amp; " Saat"</f>
        <v>2.7 Saat</v>
      </c>
      <c r="G2240" s="23" t="str">
        <f>COUNTIF(G2233:G2239, "X") &amp; "/4"</f>
        <v>0/4</v>
      </c>
    </row>
    <row r="2241" ht="22" customHeight="1" spans="1:7" x14ac:dyDescent="0.25">
      <c r="A2241" s="15" t="s">
        <v>42</v>
      </c>
      <c r="B2241" s="15"/>
      <c r="C2241" s="15"/>
      <c r="D2241" s="15"/>
      <c r="E2241" s="15"/>
      <c r="F2241" s="15"/>
      <c r="G2241" s="15"/>
    </row>
    <row r="2242" ht="22" customHeight="1" spans="1:7" x14ac:dyDescent="0.25">
      <c r="A2242" s="16" t="s">
        <v>18</v>
      </c>
      <c r="B2242" s="17" t="s">
        <v>43</v>
      </c>
      <c r="C2242" s="17" t="s">
        <v>467</v>
      </c>
      <c r="D2242" s="17" t="s">
        <v>23</v>
      </c>
      <c r="E2242" s="18">
        <v>40</v>
      </c>
      <c r="F2242" s="16" t="s">
        <v>27</v>
      </c>
      <c r="G2242" s="16" t="s">
        <v>23</v>
      </c>
    </row>
    <row r="2243" ht="20" customHeight="1" spans="1:7" x14ac:dyDescent="0.25">
      <c r="A2243" s="20" t="s">
        <v>24</v>
      </c>
      <c r="B2243" s="21" t="s">
        <v>25</v>
      </c>
      <c r="C2243" s="21" t="s">
        <v>26</v>
      </c>
      <c r="D2243" s="21" t="s">
        <v>27</v>
      </c>
      <c r="E2243" s="22" t="s">
        <v>23</v>
      </c>
      <c r="F2243" s="20" t="s">
        <v>27</v>
      </c>
      <c r="G2243" s="20" t="s">
        <v>27</v>
      </c>
    </row>
    <row r="2244" ht="22" customHeight="1" spans="1:7" x14ac:dyDescent="0.25">
      <c r="A2244" s="16" t="s">
        <v>28</v>
      </c>
      <c r="B2244" s="17" t="s">
        <v>43</v>
      </c>
      <c r="C2244" s="17" t="s">
        <v>467</v>
      </c>
      <c r="D2244" s="17" t="s">
        <v>23</v>
      </c>
      <c r="E2244" s="18">
        <v>40</v>
      </c>
      <c r="F2244" s="16" t="s">
        <v>27</v>
      </c>
      <c r="G2244" s="16" t="s">
        <v>23</v>
      </c>
    </row>
    <row r="2245" ht="20" customHeight="1" spans="1:7" x14ac:dyDescent="0.25">
      <c r="A2245" s="20" t="s">
        <v>30</v>
      </c>
      <c r="B2245" s="21" t="s">
        <v>25</v>
      </c>
      <c r="C2245" s="21" t="s">
        <v>26</v>
      </c>
      <c r="D2245" s="21" t="s">
        <v>27</v>
      </c>
      <c r="E2245" s="22" t="s">
        <v>23</v>
      </c>
      <c r="F2245" s="20" t="s">
        <v>27</v>
      </c>
      <c r="G2245" s="20" t="s">
        <v>27</v>
      </c>
    </row>
    <row r="2246" ht="22" customHeight="1" spans="1:7" x14ac:dyDescent="0.25">
      <c r="A2246" s="16" t="s">
        <v>31</v>
      </c>
      <c r="B2246" s="17" t="s">
        <v>47</v>
      </c>
      <c r="C2246" s="17" t="s">
        <v>847</v>
      </c>
      <c r="D2246" s="17" t="s">
        <v>49</v>
      </c>
      <c r="E2246" s="18">
        <v>35.8</v>
      </c>
      <c r="F2246" s="19" t="s">
        <v>22</v>
      </c>
      <c r="G2246" s="16" t="s">
        <v>23</v>
      </c>
    </row>
    <row r="2247" ht="20" customHeight="1" spans="1:7" x14ac:dyDescent="0.25">
      <c r="A2247" s="20" t="s">
        <v>35</v>
      </c>
      <c r="B2247" s="21" t="s">
        <v>25</v>
      </c>
      <c r="C2247" s="21" t="s">
        <v>26</v>
      </c>
      <c r="D2247" s="21" t="s">
        <v>27</v>
      </c>
      <c r="E2247" s="22" t="s">
        <v>23</v>
      </c>
      <c r="F2247" s="20" t="s">
        <v>27</v>
      </c>
      <c r="G2247" s="20" t="s">
        <v>27</v>
      </c>
    </row>
    <row r="2248" ht="22" customHeight="1" spans="1:7" x14ac:dyDescent="0.25">
      <c r="A2248" s="16" t="s">
        <v>36</v>
      </c>
      <c r="B2248" s="17" t="s">
        <v>47</v>
      </c>
      <c r="C2248" s="17" t="s">
        <v>848</v>
      </c>
      <c r="D2248" s="17" t="s">
        <v>49</v>
      </c>
      <c r="E2248" s="18">
        <v>22.1</v>
      </c>
      <c r="F2248" s="19" t="s">
        <v>22</v>
      </c>
      <c r="G2248" s="16" t="s">
        <v>23</v>
      </c>
    </row>
    <row r="2249" ht="24" customHeight="1" spans="1:7" x14ac:dyDescent="0.25">
      <c r="A2249" s="23" t="s">
        <v>38</v>
      </c>
      <c r="B2249" s="23" t="s">
        <v>39</v>
      </c>
      <c r="C2249" s="24" t="s">
        <v>40</v>
      </c>
      <c r="D2249" s="24" t="s">
        <v>41</v>
      </c>
      <c r="E2249" s="25">
        <f>SUM(E2242,E2244,E2246,E2248)</f>
        <v>137.9</v>
      </c>
      <c r="F2249" s="23" t="str">
        <f>ROUND(E2249/60, 1) &amp; " Saat"</f>
        <v>2.3 Saat</v>
      </c>
      <c r="G2249" s="23" t="str">
        <f>COUNTIF(G2242:G2248, "X") &amp; "/4"</f>
        <v>0/4</v>
      </c>
    </row>
    <row r="2250" ht="22" customHeight="1" spans="1:7" x14ac:dyDescent="0.25">
      <c r="A2250" s="15" t="s">
        <v>51</v>
      </c>
      <c r="B2250" s="15"/>
      <c r="C2250" s="15"/>
      <c r="D2250" s="15"/>
      <c r="E2250" s="15"/>
      <c r="F2250" s="15"/>
      <c r="G2250" s="15"/>
    </row>
    <row r="2251" ht="22" customHeight="1" spans="1:7" x14ac:dyDescent="0.25">
      <c r="A2251" s="16" t="s">
        <v>18</v>
      </c>
      <c r="B2251" s="17" t="s">
        <v>52</v>
      </c>
      <c r="C2251" s="17" t="s">
        <v>467</v>
      </c>
      <c r="D2251" s="17" t="s">
        <v>23</v>
      </c>
      <c r="E2251" s="18">
        <v>40</v>
      </c>
      <c r="F2251" s="16" t="s">
        <v>27</v>
      </c>
      <c r="G2251" s="16" t="s">
        <v>23</v>
      </c>
    </row>
    <row r="2252" ht="20" customHeight="1" spans="1:7" x14ac:dyDescent="0.25">
      <c r="A2252" s="20" t="s">
        <v>24</v>
      </c>
      <c r="B2252" s="21" t="s">
        <v>25</v>
      </c>
      <c r="C2252" s="21" t="s">
        <v>26</v>
      </c>
      <c r="D2252" s="21" t="s">
        <v>27</v>
      </c>
      <c r="E2252" s="22" t="s">
        <v>23</v>
      </c>
      <c r="F2252" s="20" t="s">
        <v>27</v>
      </c>
      <c r="G2252" s="20" t="s">
        <v>27</v>
      </c>
    </row>
    <row r="2253" ht="22" customHeight="1" spans="1:7" x14ac:dyDescent="0.25">
      <c r="A2253" s="16" t="s">
        <v>28</v>
      </c>
      <c r="B2253" s="17" t="s">
        <v>52</v>
      </c>
      <c r="C2253" s="17" t="s">
        <v>467</v>
      </c>
      <c r="D2253" s="17" t="s">
        <v>23</v>
      </c>
      <c r="E2253" s="18">
        <v>40</v>
      </c>
      <c r="F2253" s="16" t="s">
        <v>27</v>
      </c>
      <c r="G2253" s="16" t="s">
        <v>23</v>
      </c>
    </row>
    <row r="2254" ht="20" customHeight="1" spans="1:7" x14ac:dyDescent="0.25">
      <c r="A2254" s="20" t="s">
        <v>30</v>
      </c>
      <c r="B2254" s="21" t="s">
        <v>25</v>
      </c>
      <c r="C2254" s="21" t="s">
        <v>26</v>
      </c>
      <c r="D2254" s="21" t="s">
        <v>27</v>
      </c>
      <c r="E2254" s="22" t="s">
        <v>23</v>
      </c>
      <c r="F2254" s="20" t="s">
        <v>27</v>
      </c>
      <c r="G2254" s="20" t="s">
        <v>27</v>
      </c>
    </row>
    <row r="2255" ht="22" customHeight="1" spans="1:7" x14ac:dyDescent="0.25">
      <c r="A2255" s="16" t="s">
        <v>31</v>
      </c>
      <c r="B2255" s="17" t="s">
        <v>56</v>
      </c>
      <c r="C2255" s="17" t="s">
        <v>467</v>
      </c>
      <c r="D2255" s="17" t="s">
        <v>23</v>
      </c>
      <c r="E2255" s="18">
        <v>40</v>
      </c>
      <c r="F2255" s="16" t="s">
        <v>27</v>
      </c>
      <c r="G2255" s="16" t="s">
        <v>23</v>
      </c>
    </row>
    <row r="2256" ht="20" customHeight="1" spans="1:7" x14ac:dyDescent="0.25">
      <c r="A2256" s="20" t="s">
        <v>35</v>
      </c>
      <c r="B2256" s="21" t="s">
        <v>25</v>
      </c>
      <c r="C2256" s="21" t="s">
        <v>26</v>
      </c>
      <c r="D2256" s="21" t="s">
        <v>27</v>
      </c>
      <c r="E2256" s="22" t="s">
        <v>23</v>
      </c>
      <c r="F2256" s="20" t="s">
        <v>27</v>
      </c>
      <c r="G2256" s="20" t="s">
        <v>27</v>
      </c>
    </row>
    <row r="2257" ht="22" customHeight="1" spans="1:7" x14ac:dyDescent="0.25">
      <c r="A2257" s="16" t="s">
        <v>36</v>
      </c>
      <c r="B2257" s="17" t="s">
        <v>56</v>
      </c>
      <c r="C2257" s="17" t="s">
        <v>467</v>
      </c>
      <c r="D2257" s="17" t="s">
        <v>23</v>
      </c>
      <c r="E2257" s="18">
        <v>40</v>
      </c>
      <c r="F2257" s="16" t="s">
        <v>27</v>
      </c>
      <c r="G2257" s="16" t="s">
        <v>23</v>
      </c>
    </row>
    <row r="2258" ht="24" customHeight="1" spans="1:7" x14ac:dyDescent="0.25">
      <c r="A2258" s="23" t="s">
        <v>38</v>
      </c>
      <c r="B2258" s="23" t="s">
        <v>39</v>
      </c>
      <c r="C2258" s="24" t="s">
        <v>40</v>
      </c>
      <c r="D2258" s="24" t="s">
        <v>41</v>
      </c>
      <c r="E2258" s="25">
        <f>SUM(E2251,E2253,E2255,E2257)</f>
        <v>160</v>
      </c>
      <c r="F2258" s="23" t="str">
        <f>ROUND(E2258/60, 1) &amp; " Saat"</f>
        <v>2.7 Saat</v>
      </c>
      <c r="G2258" s="23" t="str">
        <f>COUNTIF(G2251:G2257, "X") &amp; "/4"</f>
        <v>0/4</v>
      </c>
    </row>
    <row r="2259" ht="22" customHeight="1" spans="1:7" x14ac:dyDescent="0.25">
      <c r="A2259" s="15" t="s">
        <v>60</v>
      </c>
      <c r="B2259" s="15"/>
      <c r="C2259" s="15"/>
      <c r="D2259" s="15"/>
      <c r="E2259" s="15"/>
      <c r="F2259" s="15"/>
      <c r="G2259" s="15"/>
    </row>
    <row r="2260" ht="22" customHeight="1" spans="1:7" x14ac:dyDescent="0.25">
      <c r="A2260" s="16" t="s">
        <v>18</v>
      </c>
      <c r="B2260" s="17" t="s">
        <v>43</v>
      </c>
      <c r="C2260" s="17" t="s">
        <v>467</v>
      </c>
      <c r="D2260" s="17" t="s">
        <v>23</v>
      </c>
      <c r="E2260" s="18">
        <v>40</v>
      </c>
      <c r="F2260" s="16" t="s">
        <v>27</v>
      </c>
      <c r="G2260" s="16" t="s">
        <v>23</v>
      </c>
    </row>
    <row r="2261" ht="20" customHeight="1" spans="1:7" x14ac:dyDescent="0.25">
      <c r="A2261" s="20" t="s">
        <v>24</v>
      </c>
      <c r="B2261" s="21" t="s">
        <v>25</v>
      </c>
      <c r="C2261" s="21" t="s">
        <v>26</v>
      </c>
      <c r="D2261" s="21" t="s">
        <v>27</v>
      </c>
      <c r="E2261" s="22" t="s">
        <v>23</v>
      </c>
      <c r="F2261" s="20" t="s">
        <v>27</v>
      </c>
      <c r="G2261" s="20" t="s">
        <v>27</v>
      </c>
    </row>
    <row r="2262" ht="22" customHeight="1" spans="1:7" x14ac:dyDescent="0.25">
      <c r="A2262" s="16" t="s">
        <v>28</v>
      </c>
      <c r="B2262" s="17" t="s">
        <v>43</v>
      </c>
      <c r="C2262" s="17" t="s">
        <v>467</v>
      </c>
      <c r="D2262" s="17" t="s">
        <v>23</v>
      </c>
      <c r="E2262" s="18">
        <v>40</v>
      </c>
      <c r="F2262" s="16" t="s">
        <v>27</v>
      </c>
      <c r="G2262" s="16" t="s">
        <v>23</v>
      </c>
    </row>
    <row r="2263" ht="20" customHeight="1" spans="1:7" x14ac:dyDescent="0.25">
      <c r="A2263" s="20" t="s">
        <v>30</v>
      </c>
      <c r="B2263" s="21" t="s">
        <v>25</v>
      </c>
      <c r="C2263" s="21" t="s">
        <v>26</v>
      </c>
      <c r="D2263" s="21" t="s">
        <v>27</v>
      </c>
      <c r="E2263" s="22" t="s">
        <v>23</v>
      </c>
      <c r="F2263" s="20" t="s">
        <v>27</v>
      </c>
      <c r="G2263" s="20" t="s">
        <v>27</v>
      </c>
    </row>
    <row r="2264" ht="22" customHeight="1" spans="1:7" x14ac:dyDescent="0.25">
      <c r="A2264" s="16" t="s">
        <v>31</v>
      </c>
      <c r="B2264" s="17" t="s">
        <v>63</v>
      </c>
      <c r="C2264" s="17" t="s">
        <v>849</v>
      </c>
      <c r="D2264" s="17" t="s">
        <v>65</v>
      </c>
      <c r="E2264" s="18">
        <v>8.1</v>
      </c>
      <c r="F2264" s="19" t="s">
        <v>22</v>
      </c>
      <c r="G2264" s="16" t="s">
        <v>23</v>
      </c>
    </row>
    <row r="2265" ht="20" customHeight="1" spans="1:7" x14ac:dyDescent="0.25">
      <c r="A2265" s="20" t="s">
        <v>35</v>
      </c>
      <c r="B2265" s="21" t="s">
        <v>25</v>
      </c>
      <c r="C2265" s="21" t="s">
        <v>26</v>
      </c>
      <c r="D2265" s="21" t="s">
        <v>27</v>
      </c>
      <c r="E2265" s="22" t="s">
        <v>23</v>
      </c>
      <c r="F2265" s="20" t="s">
        <v>27</v>
      </c>
      <c r="G2265" s="20" t="s">
        <v>27</v>
      </c>
    </row>
    <row r="2266" ht="22" customHeight="1" spans="1:7" x14ac:dyDescent="0.25">
      <c r="A2266" s="16" t="s">
        <v>36</v>
      </c>
      <c r="B2266" s="17" t="s">
        <v>63</v>
      </c>
      <c r="C2266" s="17" t="s">
        <v>467</v>
      </c>
      <c r="D2266" s="17" t="s">
        <v>23</v>
      </c>
      <c r="E2266" s="18">
        <v>40</v>
      </c>
      <c r="F2266" s="16" t="s">
        <v>27</v>
      </c>
      <c r="G2266" s="16" t="s">
        <v>23</v>
      </c>
    </row>
    <row r="2267" ht="24" customHeight="1" spans="1:7" x14ac:dyDescent="0.25">
      <c r="A2267" s="23" t="s">
        <v>38</v>
      </c>
      <c r="B2267" s="23" t="s">
        <v>39</v>
      </c>
      <c r="C2267" s="24" t="s">
        <v>40</v>
      </c>
      <c r="D2267" s="24" t="s">
        <v>41</v>
      </c>
      <c r="E2267" s="25">
        <f>SUM(E2260,E2262,E2264,E2266)</f>
        <v>128.1</v>
      </c>
      <c r="F2267" s="23" t="str">
        <f>ROUND(E2267/60, 1) &amp; " Saat"</f>
        <v>2.1 Saat</v>
      </c>
      <c r="G2267" s="23" t="str">
        <f>COUNTIF(G2260:G2266, "X") &amp; "/4"</f>
        <v>0/4</v>
      </c>
    </row>
    <row r="2268" ht="22" customHeight="1" spans="1:7" x14ac:dyDescent="0.25">
      <c r="A2268" s="15" t="s">
        <v>67</v>
      </c>
      <c r="B2268" s="15"/>
      <c r="C2268" s="15"/>
      <c r="D2268" s="15"/>
      <c r="E2268" s="15"/>
      <c r="F2268" s="15"/>
      <c r="G2268" s="15"/>
    </row>
    <row r="2269" ht="22" customHeight="1" spans="1:7" x14ac:dyDescent="0.25">
      <c r="A2269" s="16" t="s">
        <v>18</v>
      </c>
      <c r="B2269" s="17" t="s">
        <v>68</v>
      </c>
      <c r="C2269" s="17" t="s">
        <v>467</v>
      </c>
      <c r="D2269" s="17" t="s">
        <v>23</v>
      </c>
      <c r="E2269" s="18">
        <v>40</v>
      </c>
      <c r="F2269" s="16" t="s">
        <v>27</v>
      </c>
      <c r="G2269" s="16" t="s">
        <v>23</v>
      </c>
    </row>
    <row r="2270" ht="20" customHeight="1" spans="1:7" x14ac:dyDescent="0.25">
      <c r="A2270" s="20" t="s">
        <v>24</v>
      </c>
      <c r="B2270" s="21" t="s">
        <v>25</v>
      </c>
      <c r="C2270" s="21" t="s">
        <v>26</v>
      </c>
      <c r="D2270" s="21" t="s">
        <v>27</v>
      </c>
      <c r="E2270" s="22" t="s">
        <v>23</v>
      </c>
      <c r="F2270" s="20" t="s">
        <v>27</v>
      </c>
      <c r="G2270" s="20" t="s">
        <v>27</v>
      </c>
    </row>
    <row r="2271" ht="22" customHeight="1" spans="1:7" x14ac:dyDescent="0.25">
      <c r="A2271" s="16" t="s">
        <v>28</v>
      </c>
      <c r="B2271" s="17" t="s">
        <v>68</v>
      </c>
      <c r="C2271" s="17" t="s">
        <v>467</v>
      </c>
      <c r="D2271" s="17" t="s">
        <v>23</v>
      </c>
      <c r="E2271" s="18">
        <v>40</v>
      </c>
      <c r="F2271" s="16" t="s">
        <v>27</v>
      </c>
      <c r="G2271" s="16" t="s">
        <v>23</v>
      </c>
    </row>
    <row r="2272" ht="20" customHeight="1" spans="1:7" x14ac:dyDescent="0.25">
      <c r="A2272" s="20" t="s">
        <v>30</v>
      </c>
      <c r="B2272" s="21" t="s">
        <v>25</v>
      </c>
      <c r="C2272" s="21" t="s">
        <v>26</v>
      </c>
      <c r="D2272" s="21" t="s">
        <v>27</v>
      </c>
      <c r="E2272" s="22" t="s">
        <v>23</v>
      </c>
      <c r="F2272" s="20" t="s">
        <v>27</v>
      </c>
      <c r="G2272" s="20" t="s">
        <v>27</v>
      </c>
    </row>
    <row r="2273" ht="22" customHeight="1" spans="1:7" x14ac:dyDescent="0.25">
      <c r="A2273" s="16" t="s">
        <v>31</v>
      </c>
      <c r="B2273" s="17" t="s">
        <v>449</v>
      </c>
      <c r="C2273" s="17" t="s">
        <v>850</v>
      </c>
      <c r="D2273" s="17" t="s">
        <v>34</v>
      </c>
      <c r="E2273" s="18">
        <v>39.4</v>
      </c>
      <c r="F2273" s="19" t="s">
        <v>22</v>
      </c>
      <c r="G2273" s="16" t="s">
        <v>23</v>
      </c>
    </row>
    <row r="2274" ht="20" customHeight="1" spans="1:7" x14ac:dyDescent="0.25">
      <c r="A2274" s="20" t="s">
        <v>35</v>
      </c>
      <c r="B2274" s="21" t="s">
        <v>25</v>
      </c>
      <c r="C2274" s="21" t="s">
        <v>26</v>
      </c>
      <c r="D2274" s="21" t="s">
        <v>27</v>
      </c>
      <c r="E2274" s="22" t="s">
        <v>23</v>
      </c>
      <c r="F2274" s="20" t="s">
        <v>27</v>
      </c>
      <c r="G2274" s="20" t="s">
        <v>27</v>
      </c>
    </row>
    <row r="2275" ht="22" customHeight="1" spans="1:7" x14ac:dyDescent="0.25">
      <c r="A2275" s="16" t="s">
        <v>36</v>
      </c>
      <c r="B2275" s="17" t="s">
        <v>449</v>
      </c>
      <c r="C2275" s="17" t="s">
        <v>851</v>
      </c>
      <c r="D2275" s="17" t="s">
        <v>34</v>
      </c>
      <c r="E2275" s="18">
        <v>41</v>
      </c>
      <c r="F2275" s="19" t="s">
        <v>22</v>
      </c>
      <c r="G2275" s="16" t="s">
        <v>23</v>
      </c>
    </row>
    <row r="2276" ht="24" customHeight="1" spans="1:7" x14ac:dyDescent="0.25">
      <c r="A2276" s="23" t="s">
        <v>38</v>
      </c>
      <c r="B2276" s="23" t="s">
        <v>39</v>
      </c>
      <c r="C2276" s="24" t="s">
        <v>40</v>
      </c>
      <c r="D2276" s="24" t="s">
        <v>41</v>
      </c>
      <c r="E2276" s="25">
        <f>SUM(E2269,E2271,E2273,E2275)</f>
        <v>160.4</v>
      </c>
      <c r="F2276" s="23" t="str">
        <f>ROUND(E2276/60, 1) &amp; " Saat"</f>
        <v>2.7 Saat</v>
      </c>
      <c r="G2276" s="23" t="str">
        <f>COUNTIF(G2269:G2275, "X") &amp; "/4"</f>
        <v>0/4</v>
      </c>
    </row>
    <row r="2277" ht="22" customHeight="1" spans="1:7" x14ac:dyDescent="0.25">
      <c r="A2277" s="15" t="s">
        <v>74</v>
      </c>
      <c r="B2277" s="15"/>
      <c r="C2277" s="15"/>
      <c r="D2277" s="15"/>
      <c r="E2277" s="15"/>
      <c r="F2277" s="15"/>
      <c r="G2277" s="15"/>
    </row>
    <row r="2278" ht="22" customHeight="1" spans="1:7" x14ac:dyDescent="0.25">
      <c r="A2278" s="16" t="s">
        <v>18</v>
      </c>
      <c r="B2278" s="17" t="s">
        <v>47</v>
      </c>
      <c r="C2278" s="17" t="s">
        <v>852</v>
      </c>
      <c r="D2278" s="17" t="s">
        <v>49</v>
      </c>
      <c r="E2278" s="18">
        <v>44.1</v>
      </c>
      <c r="F2278" s="19" t="s">
        <v>22</v>
      </c>
      <c r="G2278" s="16" t="s">
        <v>23</v>
      </c>
    </row>
    <row r="2279" ht="20" customHeight="1" spans="1:7" x14ac:dyDescent="0.25">
      <c r="A2279" s="20" t="s">
        <v>24</v>
      </c>
      <c r="B2279" s="21" t="s">
        <v>25</v>
      </c>
      <c r="C2279" s="21" t="s">
        <v>26</v>
      </c>
      <c r="D2279" s="21" t="s">
        <v>27</v>
      </c>
      <c r="E2279" s="22" t="s">
        <v>23</v>
      </c>
      <c r="F2279" s="20" t="s">
        <v>27</v>
      </c>
      <c r="G2279" s="20" t="s">
        <v>27</v>
      </c>
    </row>
    <row r="2280" ht="22" customHeight="1" spans="1:7" x14ac:dyDescent="0.25">
      <c r="A2280" s="16" t="s">
        <v>28</v>
      </c>
      <c r="B2280" s="17" t="s">
        <v>47</v>
      </c>
      <c r="C2280" s="17" t="s">
        <v>853</v>
      </c>
      <c r="D2280" s="17" t="s">
        <v>49</v>
      </c>
      <c r="E2280" s="18">
        <v>40.7</v>
      </c>
      <c r="F2280" s="19" t="s">
        <v>22</v>
      </c>
      <c r="G2280" s="16" t="s">
        <v>23</v>
      </c>
    </row>
    <row r="2281" ht="20" customHeight="1" spans="1:7" x14ac:dyDescent="0.25">
      <c r="A2281" s="20" t="s">
        <v>30</v>
      </c>
      <c r="B2281" s="21" t="s">
        <v>25</v>
      </c>
      <c r="C2281" s="21" t="s">
        <v>26</v>
      </c>
      <c r="D2281" s="21" t="s">
        <v>27</v>
      </c>
      <c r="E2281" s="22" t="s">
        <v>23</v>
      </c>
      <c r="F2281" s="20" t="s">
        <v>27</v>
      </c>
      <c r="G2281" s="20" t="s">
        <v>27</v>
      </c>
    </row>
    <row r="2282" ht="22" customHeight="1" spans="1:7" x14ac:dyDescent="0.25">
      <c r="A2282" s="16" t="s">
        <v>31</v>
      </c>
      <c r="B2282" s="17" t="s">
        <v>568</v>
      </c>
      <c r="C2282" s="17" t="s">
        <v>467</v>
      </c>
      <c r="D2282" s="17" t="s">
        <v>23</v>
      </c>
      <c r="E2282" s="18">
        <v>40</v>
      </c>
      <c r="F2282" s="16" t="s">
        <v>27</v>
      </c>
      <c r="G2282" s="16" t="s">
        <v>23</v>
      </c>
    </row>
    <row r="2283" ht="20" customHeight="1" spans="1:7" x14ac:dyDescent="0.25">
      <c r="A2283" s="20" t="s">
        <v>35</v>
      </c>
      <c r="B2283" s="21" t="s">
        <v>25</v>
      </c>
      <c r="C2283" s="21" t="s">
        <v>26</v>
      </c>
      <c r="D2283" s="21" t="s">
        <v>27</v>
      </c>
      <c r="E2283" s="22" t="s">
        <v>23</v>
      </c>
      <c r="F2283" s="20" t="s">
        <v>27</v>
      </c>
      <c r="G2283" s="20" t="s">
        <v>27</v>
      </c>
    </row>
    <row r="2284" ht="22" customHeight="1" spans="1:7" x14ac:dyDescent="0.25">
      <c r="A2284" s="16" t="s">
        <v>36</v>
      </c>
      <c r="B2284" s="17" t="s">
        <v>568</v>
      </c>
      <c r="C2284" s="17" t="s">
        <v>467</v>
      </c>
      <c r="D2284" s="17" t="s">
        <v>23</v>
      </c>
      <c r="E2284" s="18">
        <v>40</v>
      </c>
      <c r="F2284" s="16" t="s">
        <v>27</v>
      </c>
      <c r="G2284" s="16" t="s">
        <v>23</v>
      </c>
    </row>
    <row r="2285" ht="24" customHeight="1" spans="1:7" x14ac:dyDescent="0.25">
      <c r="A2285" s="23" t="s">
        <v>38</v>
      </c>
      <c r="B2285" s="23" t="s">
        <v>39</v>
      </c>
      <c r="C2285" s="24" t="s">
        <v>40</v>
      </c>
      <c r="D2285" s="24" t="s">
        <v>41</v>
      </c>
      <c r="E2285" s="25">
        <f>SUM(E2278,E2280,E2282,E2284)</f>
        <v>164.8</v>
      </c>
      <c r="F2285" s="23" t="str">
        <f>ROUND(E2285/60, 1) &amp; " Saat"</f>
        <v>2.7 Saat</v>
      </c>
      <c r="G2285" s="23" t="str">
        <f>COUNTIF(G2278:G2284, "X") &amp; "/4"</f>
        <v>0/4</v>
      </c>
    </row>
    <row r="2286" ht="28" customHeight="1" spans="1:7" x14ac:dyDescent="0.25">
      <c r="A2286" s="26" t="s">
        <v>79</v>
      </c>
      <c r="B2286" s="26"/>
      <c r="C2286" s="26"/>
      <c r="D2286" s="26"/>
      <c r="E2286" s="26"/>
      <c r="F2286" s="26"/>
      <c r="G2286" s="26"/>
    </row>
    <row r="2287" ht="8" customHeight="1" x14ac:dyDescent="0.25"/>
    <row r="2288" ht="25" customHeight="1" spans="1:7" x14ac:dyDescent="0.25">
      <c r="A2288" s="14" t="s">
        <v>854</v>
      </c>
      <c r="B2288" s="14"/>
      <c r="C2288" s="14"/>
      <c r="D2288" s="14"/>
      <c r="E2288" s="14"/>
      <c r="F2288" s="14"/>
      <c r="G2288" s="14"/>
    </row>
    <row r="2289" ht="22" customHeight="1" spans="1:7" x14ac:dyDescent="0.25">
      <c r="A2289" s="15" t="s">
        <v>17</v>
      </c>
      <c r="B2289" s="15"/>
      <c r="C2289" s="15"/>
      <c r="D2289" s="15"/>
      <c r="E2289" s="15"/>
      <c r="F2289" s="15"/>
      <c r="G2289" s="15"/>
    </row>
    <row r="2290" ht="22" customHeight="1" spans="1:7" x14ac:dyDescent="0.25">
      <c r="A2290" s="16" t="s">
        <v>18</v>
      </c>
      <c r="B2290" s="17" t="s">
        <v>19</v>
      </c>
      <c r="C2290" s="17" t="s">
        <v>467</v>
      </c>
      <c r="D2290" s="17" t="s">
        <v>23</v>
      </c>
      <c r="E2290" s="18">
        <v>40</v>
      </c>
      <c r="F2290" s="16" t="s">
        <v>27</v>
      </c>
      <c r="G2290" s="16" t="s">
        <v>23</v>
      </c>
    </row>
    <row r="2291" ht="20" customHeight="1" spans="1:7" x14ac:dyDescent="0.25">
      <c r="A2291" s="20" t="s">
        <v>24</v>
      </c>
      <c r="B2291" s="21" t="s">
        <v>25</v>
      </c>
      <c r="C2291" s="21" t="s">
        <v>26</v>
      </c>
      <c r="D2291" s="21" t="s">
        <v>27</v>
      </c>
      <c r="E2291" s="22" t="s">
        <v>23</v>
      </c>
      <c r="F2291" s="20" t="s">
        <v>27</v>
      </c>
      <c r="G2291" s="20" t="s">
        <v>27</v>
      </c>
    </row>
    <row r="2292" ht="22" customHeight="1" spans="1:7" x14ac:dyDescent="0.25">
      <c r="A2292" s="16" t="s">
        <v>28</v>
      </c>
      <c r="B2292" s="17" t="s">
        <v>19</v>
      </c>
      <c r="C2292" s="17" t="s">
        <v>467</v>
      </c>
      <c r="D2292" s="17" t="s">
        <v>23</v>
      </c>
      <c r="E2292" s="18">
        <v>40</v>
      </c>
      <c r="F2292" s="16" t="s">
        <v>27</v>
      </c>
      <c r="G2292" s="16" t="s">
        <v>23</v>
      </c>
    </row>
    <row r="2293" ht="20" customHeight="1" spans="1:7" x14ac:dyDescent="0.25">
      <c r="A2293" s="20" t="s">
        <v>30</v>
      </c>
      <c r="B2293" s="21" t="s">
        <v>25</v>
      </c>
      <c r="C2293" s="21" t="s">
        <v>26</v>
      </c>
      <c r="D2293" s="21" t="s">
        <v>27</v>
      </c>
      <c r="E2293" s="22" t="s">
        <v>23</v>
      </c>
      <c r="F2293" s="20" t="s">
        <v>27</v>
      </c>
      <c r="G2293" s="20" t="s">
        <v>27</v>
      </c>
    </row>
    <row r="2294" ht="22" customHeight="1" spans="1:7" x14ac:dyDescent="0.25">
      <c r="A2294" s="16" t="s">
        <v>31</v>
      </c>
      <c r="B2294" s="17" t="s">
        <v>32</v>
      </c>
      <c r="C2294" s="17" t="s">
        <v>467</v>
      </c>
      <c r="D2294" s="17" t="s">
        <v>23</v>
      </c>
      <c r="E2294" s="18">
        <v>40</v>
      </c>
      <c r="F2294" s="16" t="s">
        <v>27</v>
      </c>
      <c r="G2294" s="16" t="s">
        <v>23</v>
      </c>
    </row>
    <row r="2295" ht="20" customHeight="1" spans="1:7" x14ac:dyDescent="0.25">
      <c r="A2295" s="20" t="s">
        <v>35</v>
      </c>
      <c r="B2295" s="21" t="s">
        <v>25</v>
      </c>
      <c r="C2295" s="21" t="s">
        <v>26</v>
      </c>
      <c r="D2295" s="21" t="s">
        <v>27</v>
      </c>
      <c r="E2295" s="22" t="s">
        <v>23</v>
      </c>
      <c r="F2295" s="20" t="s">
        <v>27</v>
      </c>
      <c r="G2295" s="20" t="s">
        <v>27</v>
      </c>
    </row>
    <row r="2296" ht="22" customHeight="1" spans="1:7" x14ac:dyDescent="0.25">
      <c r="A2296" s="16" t="s">
        <v>36</v>
      </c>
      <c r="B2296" s="17" t="s">
        <v>32</v>
      </c>
      <c r="C2296" s="17" t="s">
        <v>467</v>
      </c>
      <c r="D2296" s="17" t="s">
        <v>23</v>
      </c>
      <c r="E2296" s="18">
        <v>40</v>
      </c>
      <c r="F2296" s="16" t="s">
        <v>27</v>
      </c>
      <c r="G2296" s="16" t="s">
        <v>23</v>
      </c>
    </row>
    <row r="2297" ht="24" customHeight="1" spans="1:7" x14ac:dyDescent="0.25">
      <c r="A2297" s="23" t="s">
        <v>38</v>
      </c>
      <c r="B2297" s="23" t="s">
        <v>39</v>
      </c>
      <c r="C2297" s="24" t="s">
        <v>40</v>
      </c>
      <c r="D2297" s="24" t="s">
        <v>41</v>
      </c>
      <c r="E2297" s="25">
        <f>SUM(E2290,E2292,E2294,E2296)</f>
        <v>160</v>
      </c>
      <c r="F2297" s="23" t="str">
        <f>ROUND(E2297/60, 1) &amp; " Saat"</f>
        <v>2.7 Saat</v>
      </c>
      <c r="G2297" s="23" t="str">
        <f>COUNTIF(G2290:G2296, "X") &amp; "/4"</f>
        <v>0/4</v>
      </c>
    </row>
    <row r="2298" ht="22" customHeight="1" spans="1:7" x14ac:dyDescent="0.25">
      <c r="A2298" s="15" t="s">
        <v>42</v>
      </c>
      <c r="B2298" s="15"/>
      <c r="C2298" s="15"/>
      <c r="D2298" s="15"/>
      <c r="E2298" s="15"/>
      <c r="F2298" s="15"/>
      <c r="G2298" s="15"/>
    </row>
    <row r="2299" ht="22" customHeight="1" spans="1:7" x14ac:dyDescent="0.25">
      <c r="A2299" s="16" t="s">
        <v>18</v>
      </c>
      <c r="B2299" s="17" t="s">
        <v>43</v>
      </c>
      <c r="C2299" s="17" t="s">
        <v>467</v>
      </c>
      <c r="D2299" s="17" t="s">
        <v>23</v>
      </c>
      <c r="E2299" s="18">
        <v>40</v>
      </c>
      <c r="F2299" s="16" t="s">
        <v>27</v>
      </c>
      <c r="G2299" s="16" t="s">
        <v>23</v>
      </c>
    </row>
    <row r="2300" ht="20" customHeight="1" spans="1:7" x14ac:dyDescent="0.25">
      <c r="A2300" s="20" t="s">
        <v>24</v>
      </c>
      <c r="B2300" s="21" t="s">
        <v>25</v>
      </c>
      <c r="C2300" s="21" t="s">
        <v>26</v>
      </c>
      <c r="D2300" s="21" t="s">
        <v>27</v>
      </c>
      <c r="E2300" s="22" t="s">
        <v>23</v>
      </c>
      <c r="F2300" s="20" t="s">
        <v>27</v>
      </c>
      <c r="G2300" s="20" t="s">
        <v>27</v>
      </c>
    </row>
    <row r="2301" ht="22" customHeight="1" spans="1:7" x14ac:dyDescent="0.25">
      <c r="A2301" s="16" t="s">
        <v>28</v>
      </c>
      <c r="B2301" s="17" t="s">
        <v>43</v>
      </c>
      <c r="C2301" s="17" t="s">
        <v>467</v>
      </c>
      <c r="D2301" s="17" t="s">
        <v>23</v>
      </c>
      <c r="E2301" s="18">
        <v>40</v>
      </c>
      <c r="F2301" s="16" t="s">
        <v>27</v>
      </c>
      <c r="G2301" s="16" t="s">
        <v>23</v>
      </c>
    </row>
    <row r="2302" ht="20" customHeight="1" spans="1:7" x14ac:dyDescent="0.25">
      <c r="A2302" s="20" t="s">
        <v>30</v>
      </c>
      <c r="B2302" s="21" t="s">
        <v>25</v>
      </c>
      <c r="C2302" s="21" t="s">
        <v>26</v>
      </c>
      <c r="D2302" s="21" t="s">
        <v>27</v>
      </c>
      <c r="E2302" s="22" t="s">
        <v>23</v>
      </c>
      <c r="F2302" s="20" t="s">
        <v>27</v>
      </c>
      <c r="G2302" s="20" t="s">
        <v>27</v>
      </c>
    </row>
    <row r="2303" ht="22" customHeight="1" spans="1:7" x14ac:dyDescent="0.25">
      <c r="A2303" s="16" t="s">
        <v>31</v>
      </c>
      <c r="B2303" s="17" t="s">
        <v>47</v>
      </c>
      <c r="C2303" s="17" t="s">
        <v>855</v>
      </c>
      <c r="D2303" s="17" t="s">
        <v>49</v>
      </c>
      <c r="E2303" s="18">
        <v>46.7</v>
      </c>
      <c r="F2303" s="19" t="s">
        <v>22</v>
      </c>
      <c r="G2303" s="16" t="s">
        <v>23</v>
      </c>
    </row>
    <row r="2304" ht="20" customHeight="1" spans="1:7" x14ac:dyDescent="0.25">
      <c r="A2304" s="20" t="s">
        <v>35</v>
      </c>
      <c r="B2304" s="21" t="s">
        <v>25</v>
      </c>
      <c r="C2304" s="21" t="s">
        <v>26</v>
      </c>
      <c r="D2304" s="21" t="s">
        <v>27</v>
      </c>
      <c r="E2304" s="22" t="s">
        <v>23</v>
      </c>
      <c r="F2304" s="20" t="s">
        <v>27</v>
      </c>
      <c r="G2304" s="20" t="s">
        <v>27</v>
      </c>
    </row>
    <row r="2305" ht="22" customHeight="1" spans="1:7" x14ac:dyDescent="0.25">
      <c r="A2305" s="16" t="s">
        <v>36</v>
      </c>
      <c r="B2305" s="17" t="s">
        <v>47</v>
      </c>
      <c r="C2305" s="17" t="s">
        <v>856</v>
      </c>
      <c r="D2305" s="17" t="s">
        <v>49</v>
      </c>
      <c r="E2305" s="18">
        <v>24.6</v>
      </c>
      <c r="F2305" s="19" t="s">
        <v>22</v>
      </c>
      <c r="G2305" s="16" t="s">
        <v>23</v>
      </c>
    </row>
    <row r="2306" ht="24" customHeight="1" spans="1:7" x14ac:dyDescent="0.25">
      <c r="A2306" s="23" t="s">
        <v>38</v>
      </c>
      <c r="B2306" s="23" t="s">
        <v>39</v>
      </c>
      <c r="C2306" s="24" t="s">
        <v>40</v>
      </c>
      <c r="D2306" s="24" t="s">
        <v>41</v>
      </c>
      <c r="E2306" s="25">
        <f>SUM(E2299,E2301,E2303,E2305)</f>
        <v>151.3</v>
      </c>
      <c r="F2306" s="23" t="str">
        <f>ROUND(E2306/60, 1) &amp; " Saat"</f>
        <v>2.5 Saat</v>
      </c>
      <c r="G2306" s="23" t="str">
        <f>COUNTIF(G2299:G2305, "X") &amp; "/4"</f>
        <v>0/4</v>
      </c>
    </row>
    <row r="2307" ht="22" customHeight="1" spans="1:7" x14ac:dyDescent="0.25">
      <c r="A2307" s="15" t="s">
        <v>51</v>
      </c>
      <c r="B2307" s="15"/>
      <c r="C2307" s="15"/>
      <c r="D2307" s="15"/>
      <c r="E2307" s="15"/>
      <c r="F2307" s="15"/>
      <c r="G2307" s="15"/>
    </row>
    <row r="2308" ht="22" customHeight="1" spans="1:7" x14ac:dyDescent="0.25">
      <c r="A2308" s="16" t="s">
        <v>18</v>
      </c>
      <c r="B2308" s="17" t="s">
        <v>52</v>
      </c>
      <c r="C2308" s="17" t="s">
        <v>467</v>
      </c>
      <c r="D2308" s="17" t="s">
        <v>23</v>
      </c>
      <c r="E2308" s="18">
        <v>40</v>
      </c>
      <c r="F2308" s="16" t="s">
        <v>27</v>
      </c>
      <c r="G2308" s="16" t="s">
        <v>23</v>
      </c>
    </row>
    <row r="2309" ht="20" customHeight="1" spans="1:7" x14ac:dyDescent="0.25">
      <c r="A2309" s="20" t="s">
        <v>24</v>
      </c>
      <c r="B2309" s="21" t="s">
        <v>25</v>
      </c>
      <c r="C2309" s="21" t="s">
        <v>26</v>
      </c>
      <c r="D2309" s="21" t="s">
        <v>27</v>
      </c>
      <c r="E2309" s="22" t="s">
        <v>23</v>
      </c>
      <c r="F2309" s="20" t="s">
        <v>27</v>
      </c>
      <c r="G2309" s="20" t="s">
        <v>27</v>
      </c>
    </row>
    <row r="2310" ht="22" customHeight="1" spans="1:7" x14ac:dyDescent="0.25">
      <c r="A2310" s="16" t="s">
        <v>28</v>
      </c>
      <c r="B2310" s="17" t="s">
        <v>52</v>
      </c>
      <c r="C2310" s="17" t="s">
        <v>467</v>
      </c>
      <c r="D2310" s="17" t="s">
        <v>23</v>
      </c>
      <c r="E2310" s="18">
        <v>40</v>
      </c>
      <c r="F2310" s="16" t="s">
        <v>27</v>
      </c>
      <c r="G2310" s="16" t="s">
        <v>23</v>
      </c>
    </row>
    <row r="2311" ht="20" customHeight="1" spans="1:7" x14ac:dyDescent="0.25">
      <c r="A2311" s="20" t="s">
        <v>30</v>
      </c>
      <c r="B2311" s="21" t="s">
        <v>25</v>
      </c>
      <c r="C2311" s="21" t="s">
        <v>26</v>
      </c>
      <c r="D2311" s="21" t="s">
        <v>27</v>
      </c>
      <c r="E2311" s="22" t="s">
        <v>23</v>
      </c>
      <c r="F2311" s="20" t="s">
        <v>27</v>
      </c>
      <c r="G2311" s="20" t="s">
        <v>27</v>
      </c>
    </row>
    <row r="2312" ht="22" customHeight="1" spans="1:7" x14ac:dyDescent="0.25">
      <c r="A2312" s="16" t="s">
        <v>31</v>
      </c>
      <c r="B2312" s="17" t="s">
        <v>56</v>
      </c>
      <c r="C2312" s="17" t="s">
        <v>467</v>
      </c>
      <c r="D2312" s="17" t="s">
        <v>23</v>
      </c>
      <c r="E2312" s="18">
        <v>40</v>
      </c>
      <c r="F2312" s="16" t="s">
        <v>27</v>
      </c>
      <c r="G2312" s="16" t="s">
        <v>23</v>
      </c>
    </row>
    <row r="2313" ht="20" customHeight="1" spans="1:7" x14ac:dyDescent="0.25">
      <c r="A2313" s="20" t="s">
        <v>35</v>
      </c>
      <c r="B2313" s="21" t="s">
        <v>25</v>
      </c>
      <c r="C2313" s="21" t="s">
        <v>26</v>
      </c>
      <c r="D2313" s="21" t="s">
        <v>27</v>
      </c>
      <c r="E2313" s="22" t="s">
        <v>23</v>
      </c>
      <c r="F2313" s="20" t="s">
        <v>27</v>
      </c>
      <c r="G2313" s="20" t="s">
        <v>27</v>
      </c>
    </row>
    <row r="2314" ht="22" customHeight="1" spans="1:7" x14ac:dyDescent="0.25">
      <c r="A2314" s="16" t="s">
        <v>36</v>
      </c>
      <c r="B2314" s="17" t="s">
        <v>56</v>
      </c>
      <c r="C2314" s="17" t="s">
        <v>467</v>
      </c>
      <c r="D2314" s="17" t="s">
        <v>23</v>
      </c>
      <c r="E2314" s="18">
        <v>40</v>
      </c>
      <c r="F2314" s="16" t="s">
        <v>27</v>
      </c>
      <c r="G2314" s="16" t="s">
        <v>23</v>
      </c>
    </row>
    <row r="2315" ht="24" customHeight="1" spans="1:7" x14ac:dyDescent="0.25">
      <c r="A2315" s="23" t="s">
        <v>38</v>
      </c>
      <c r="B2315" s="23" t="s">
        <v>39</v>
      </c>
      <c r="C2315" s="24" t="s">
        <v>40</v>
      </c>
      <c r="D2315" s="24" t="s">
        <v>41</v>
      </c>
      <c r="E2315" s="25">
        <f>SUM(E2308,E2310,E2312,E2314)</f>
        <v>160</v>
      </c>
      <c r="F2315" s="23" t="str">
        <f>ROUND(E2315/60, 1) &amp; " Saat"</f>
        <v>2.7 Saat</v>
      </c>
      <c r="G2315" s="23" t="str">
        <f>COUNTIF(G2308:G2314, "X") &amp; "/4"</f>
        <v>0/4</v>
      </c>
    </row>
    <row r="2316" ht="22" customHeight="1" spans="1:7" x14ac:dyDescent="0.25">
      <c r="A2316" s="15" t="s">
        <v>60</v>
      </c>
      <c r="B2316" s="15"/>
      <c r="C2316" s="15"/>
      <c r="D2316" s="15"/>
      <c r="E2316" s="15"/>
      <c r="F2316" s="15"/>
      <c r="G2316" s="15"/>
    </row>
    <row r="2317" ht="22" customHeight="1" spans="1:7" x14ac:dyDescent="0.25">
      <c r="A2317" s="16" t="s">
        <v>18</v>
      </c>
      <c r="B2317" s="17" t="s">
        <v>43</v>
      </c>
      <c r="C2317" s="17" t="s">
        <v>467</v>
      </c>
      <c r="D2317" s="17" t="s">
        <v>23</v>
      </c>
      <c r="E2317" s="18">
        <v>40</v>
      </c>
      <c r="F2317" s="16" t="s">
        <v>27</v>
      </c>
      <c r="G2317" s="16" t="s">
        <v>23</v>
      </c>
    </row>
    <row r="2318" ht="20" customHeight="1" spans="1:7" x14ac:dyDescent="0.25">
      <c r="A2318" s="20" t="s">
        <v>24</v>
      </c>
      <c r="B2318" s="21" t="s">
        <v>25</v>
      </c>
      <c r="C2318" s="21" t="s">
        <v>26</v>
      </c>
      <c r="D2318" s="21" t="s">
        <v>27</v>
      </c>
      <c r="E2318" s="22" t="s">
        <v>23</v>
      </c>
      <c r="F2318" s="20" t="s">
        <v>27</v>
      </c>
      <c r="G2318" s="20" t="s">
        <v>27</v>
      </c>
    </row>
    <row r="2319" ht="22" customHeight="1" spans="1:7" x14ac:dyDescent="0.25">
      <c r="A2319" s="16" t="s">
        <v>28</v>
      </c>
      <c r="B2319" s="17" t="s">
        <v>43</v>
      </c>
      <c r="C2319" s="17" t="s">
        <v>467</v>
      </c>
      <c r="D2319" s="17" t="s">
        <v>23</v>
      </c>
      <c r="E2319" s="18">
        <v>40</v>
      </c>
      <c r="F2319" s="16" t="s">
        <v>27</v>
      </c>
      <c r="G2319" s="16" t="s">
        <v>23</v>
      </c>
    </row>
    <row r="2320" ht="20" customHeight="1" spans="1:7" x14ac:dyDescent="0.25">
      <c r="A2320" s="20" t="s">
        <v>30</v>
      </c>
      <c r="B2320" s="21" t="s">
        <v>25</v>
      </c>
      <c r="C2320" s="21" t="s">
        <v>26</v>
      </c>
      <c r="D2320" s="21" t="s">
        <v>27</v>
      </c>
      <c r="E2320" s="22" t="s">
        <v>23</v>
      </c>
      <c r="F2320" s="20" t="s">
        <v>27</v>
      </c>
      <c r="G2320" s="20" t="s">
        <v>27</v>
      </c>
    </row>
    <row r="2321" ht="22" customHeight="1" spans="1:7" x14ac:dyDescent="0.25">
      <c r="A2321" s="16" t="s">
        <v>31</v>
      </c>
      <c r="B2321" s="17" t="s">
        <v>63</v>
      </c>
      <c r="C2321" s="17" t="s">
        <v>467</v>
      </c>
      <c r="D2321" s="17" t="s">
        <v>23</v>
      </c>
      <c r="E2321" s="18">
        <v>40</v>
      </c>
      <c r="F2321" s="16" t="s">
        <v>27</v>
      </c>
      <c r="G2321" s="16" t="s">
        <v>23</v>
      </c>
    </row>
    <row r="2322" ht="20" customHeight="1" spans="1:7" x14ac:dyDescent="0.25">
      <c r="A2322" s="20" t="s">
        <v>35</v>
      </c>
      <c r="B2322" s="21" t="s">
        <v>25</v>
      </c>
      <c r="C2322" s="21" t="s">
        <v>26</v>
      </c>
      <c r="D2322" s="21" t="s">
        <v>27</v>
      </c>
      <c r="E2322" s="22" t="s">
        <v>23</v>
      </c>
      <c r="F2322" s="20" t="s">
        <v>27</v>
      </c>
      <c r="G2322" s="20" t="s">
        <v>27</v>
      </c>
    </row>
    <row r="2323" ht="22" customHeight="1" spans="1:7" x14ac:dyDescent="0.25">
      <c r="A2323" s="16" t="s">
        <v>36</v>
      </c>
      <c r="B2323" s="17" t="s">
        <v>63</v>
      </c>
      <c r="C2323" s="17" t="s">
        <v>467</v>
      </c>
      <c r="D2323" s="17" t="s">
        <v>23</v>
      </c>
      <c r="E2323" s="18">
        <v>40</v>
      </c>
      <c r="F2323" s="16" t="s">
        <v>27</v>
      </c>
      <c r="G2323" s="16" t="s">
        <v>23</v>
      </c>
    </row>
    <row r="2324" ht="24" customHeight="1" spans="1:7" x14ac:dyDescent="0.25">
      <c r="A2324" s="23" t="s">
        <v>38</v>
      </c>
      <c r="B2324" s="23" t="s">
        <v>39</v>
      </c>
      <c r="C2324" s="24" t="s">
        <v>40</v>
      </c>
      <c r="D2324" s="24" t="s">
        <v>41</v>
      </c>
      <c r="E2324" s="25">
        <f>SUM(E2317,E2319,E2321,E2323)</f>
        <v>160</v>
      </c>
      <c r="F2324" s="23" t="str">
        <f>ROUND(E2324/60, 1) &amp; " Saat"</f>
        <v>2.7 Saat</v>
      </c>
      <c r="G2324" s="23" t="str">
        <f>COUNTIF(G2317:G2323, "X") &amp; "/4"</f>
        <v>0/4</v>
      </c>
    </row>
    <row r="2325" ht="22" customHeight="1" spans="1:7" x14ac:dyDescent="0.25">
      <c r="A2325" s="15" t="s">
        <v>67</v>
      </c>
      <c r="B2325" s="15"/>
      <c r="C2325" s="15"/>
      <c r="D2325" s="15"/>
      <c r="E2325" s="15"/>
      <c r="F2325" s="15"/>
      <c r="G2325" s="15"/>
    </row>
    <row r="2326" ht="22" customHeight="1" spans="1:7" x14ac:dyDescent="0.25">
      <c r="A2326" s="16" t="s">
        <v>18</v>
      </c>
      <c r="B2326" s="17" t="s">
        <v>68</v>
      </c>
      <c r="C2326" s="17" t="s">
        <v>467</v>
      </c>
      <c r="D2326" s="17" t="s">
        <v>23</v>
      </c>
      <c r="E2326" s="18">
        <v>40</v>
      </c>
      <c r="F2326" s="16" t="s">
        <v>27</v>
      </c>
      <c r="G2326" s="16" t="s">
        <v>23</v>
      </c>
    </row>
    <row r="2327" ht="20" customHeight="1" spans="1:7" x14ac:dyDescent="0.25">
      <c r="A2327" s="20" t="s">
        <v>24</v>
      </c>
      <c r="B2327" s="21" t="s">
        <v>25</v>
      </c>
      <c r="C2327" s="21" t="s">
        <v>26</v>
      </c>
      <c r="D2327" s="21" t="s">
        <v>27</v>
      </c>
      <c r="E2327" s="22" t="s">
        <v>23</v>
      </c>
      <c r="F2327" s="20" t="s">
        <v>27</v>
      </c>
      <c r="G2327" s="20" t="s">
        <v>27</v>
      </c>
    </row>
    <row r="2328" ht="22" customHeight="1" spans="1:7" x14ac:dyDescent="0.25">
      <c r="A2328" s="16" t="s">
        <v>28</v>
      </c>
      <c r="B2328" s="17" t="s">
        <v>68</v>
      </c>
      <c r="C2328" s="17" t="s">
        <v>467</v>
      </c>
      <c r="D2328" s="17" t="s">
        <v>23</v>
      </c>
      <c r="E2328" s="18">
        <v>40</v>
      </c>
      <c r="F2328" s="16" t="s">
        <v>27</v>
      </c>
      <c r="G2328" s="16" t="s">
        <v>23</v>
      </c>
    </row>
    <row r="2329" ht="20" customHeight="1" spans="1:7" x14ac:dyDescent="0.25">
      <c r="A2329" s="20" t="s">
        <v>30</v>
      </c>
      <c r="B2329" s="21" t="s">
        <v>25</v>
      </c>
      <c r="C2329" s="21" t="s">
        <v>26</v>
      </c>
      <c r="D2329" s="21" t="s">
        <v>27</v>
      </c>
      <c r="E2329" s="22" t="s">
        <v>23</v>
      </c>
      <c r="F2329" s="20" t="s">
        <v>27</v>
      </c>
      <c r="G2329" s="20" t="s">
        <v>27</v>
      </c>
    </row>
    <row r="2330" ht="22" customHeight="1" spans="1:7" x14ac:dyDescent="0.25">
      <c r="A2330" s="16" t="s">
        <v>31</v>
      </c>
      <c r="B2330" s="17" t="s">
        <v>449</v>
      </c>
      <c r="C2330" s="17" t="s">
        <v>857</v>
      </c>
      <c r="D2330" s="17" t="s">
        <v>34</v>
      </c>
      <c r="E2330" s="18">
        <v>34.6</v>
      </c>
      <c r="F2330" s="19" t="s">
        <v>22</v>
      </c>
      <c r="G2330" s="16" t="s">
        <v>23</v>
      </c>
    </row>
    <row r="2331" ht="20" customHeight="1" spans="1:7" x14ac:dyDescent="0.25">
      <c r="A2331" s="20" t="s">
        <v>35</v>
      </c>
      <c r="B2331" s="21" t="s">
        <v>25</v>
      </c>
      <c r="C2331" s="21" t="s">
        <v>26</v>
      </c>
      <c r="D2331" s="21" t="s">
        <v>27</v>
      </c>
      <c r="E2331" s="22" t="s">
        <v>23</v>
      </c>
      <c r="F2331" s="20" t="s">
        <v>27</v>
      </c>
      <c r="G2331" s="20" t="s">
        <v>27</v>
      </c>
    </row>
    <row r="2332" ht="22" customHeight="1" spans="1:7" x14ac:dyDescent="0.25">
      <c r="A2332" s="16" t="s">
        <v>36</v>
      </c>
      <c r="B2332" s="17" t="s">
        <v>449</v>
      </c>
      <c r="C2332" s="17" t="s">
        <v>858</v>
      </c>
      <c r="D2332" s="17" t="s">
        <v>34</v>
      </c>
      <c r="E2332" s="18">
        <v>29.8</v>
      </c>
      <c r="F2332" s="19" t="s">
        <v>22</v>
      </c>
      <c r="G2332" s="16" t="s">
        <v>23</v>
      </c>
    </row>
    <row r="2333" ht="24" customHeight="1" spans="1:7" x14ac:dyDescent="0.25">
      <c r="A2333" s="23" t="s">
        <v>38</v>
      </c>
      <c r="B2333" s="23" t="s">
        <v>39</v>
      </c>
      <c r="C2333" s="24" t="s">
        <v>40</v>
      </c>
      <c r="D2333" s="24" t="s">
        <v>41</v>
      </c>
      <c r="E2333" s="25">
        <f>SUM(E2326,E2328,E2330,E2332)</f>
        <v>144.4</v>
      </c>
      <c r="F2333" s="23" t="str">
        <f>ROUND(E2333/60, 1) &amp; " Saat"</f>
        <v>2.4 Saat</v>
      </c>
      <c r="G2333" s="23" t="str">
        <f>COUNTIF(G2326:G2332, "X") &amp; "/4"</f>
        <v>0/4</v>
      </c>
    </row>
    <row r="2334" ht="22" customHeight="1" spans="1:7" x14ac:dyDescent="0.25">
      <c r="A2334" s="15" t="s">
        <v>74</v>
      </c>
      <c r="B2334" s="15"/>
      <c r="C2334" s="15"/>
      <c r="D2334" s="15"/>
      <c r="E2334" s="15"/>
      <c r="F2334" s="15"/>
      <c r="G2334" s="15"/>
    </row>
    <row r="2335" ht="22" customHeight="1" spans="1:7" x14ac:dyDescent="0.25">
      <c r="A2335" s="16" t="s">
        <v>18</v>
      </c>
      <c r="B2335" s="17" t="s">
        <v>47</v>
      </c>
      <c r="C2335" s="17" t="s">
        <v>859</v>
      </c>
      <c r="D2335" s="17" t="s">
        <v>49</v>
      </c>
      <c r="E2335" s="18">
        <v>40.6</v>
      </c>
      <c r="F2335" s="19" t="s">
        <v>22</v>
      </c>
      <c r="G2335" s="16" t="s">
        <v>23</v>
      </c>
    </row>
    <row r="2336" ht="20" customHeight="1" spans="1:7" x14ac:dyDescent="0.25">
      <c r="A2336" s="20" t="s">
        <v>24</v>
      </c>
      <c r="B2336" s="21" t="s">
        <v>25</v>
      </c>
      <c r="C2336" s="21" t="s">
        <v>26</v>
      </c>
      <c r="D2336" s="21" t="s">
        <v>27</v>
      </c>
      <c r="E2336" s="22" t="s">
        <v>23</v>
      </c>
      <c r="F2336" s="20" t="s">
        <v>27</v>
      </c>
      <c r="G2336" s="20" t="s">
        <v>27</v>
      </c>
    </row>
    <row r="2337" ht="22" customHeight="1" spans="1:7" x14ac:dyDescent="0.25">
      <c r="A2337" s="16" t="s">
        <v>28</v>
      </c>
      <c r="B2337" s="17" t="s">
        <v>47</v>
      </c>
      <c r="C2337" s="17" t="s">
        <v>860</v>
      </c>
      <c r="D2337" s="17" t="s">
        <v>49</v>
      </c>
      <c r="E2337" s="18">
        <v>38.9</v>
      </c>
      <c r="F2337" s="19" t="s">
        <v>22</v>
      </c>
      <c r="G2337" s="16" t="s">
        <v>23</v>
      </c>
    </row>
    <row r="2338" ht="20" customHeight="1" spans="1:7" x14ac:dyDescent="0.25">
      <c r="A2338" s="20" t="s">
        <v>30</v>
      </c>
      <c r="B2338" s="21" t="s">
        <v>25</v>
      </c>
      <c r="C2338" s="21" t="s">
        <v>26</v>
      </c>
      <c r="D2338" s="21" t="s">
        <v>27</v>
      </c>
      <c r="E2338" s="22" t="s">
        <v>23</v>
      </c>
      <c r="F2338" s="20" t="s">
        <v>27</v>
      </c>
      <c r="G2338" s="20" t="s">
        <v>27</v>
      </c>
    </row>
    <row r="2339" ht="22" customHeight="1" spans="1:7" x14ac:dyDescent="0.25">
      <c r="A2339" s="16" t="s">
        <v>31</v>
      </c>
      <c r="B2339" s="17" t="s">
        <v>568</v>
      </c>
      <c r="C2339" s="17" t="s">
        <v>467</v>
      </c>
      <c r="D2339" s="17" t="s">
        <v>23</v>
      </c>
      <c r="E2339" s="18">
        <v>40</v>
      </c>
      <c r="F2339" s="16" t="s">
        <v>27</v>
      </c>
      <c r="G2339" s="16" t="s">
        <v>23</v>
      </c>
    </row>
    <row r="2340" ht="20" customHeight="1" spans="1:7" x14ac:dyDescent="0.25">
      <c r="A2340" s="20" t="s">
        <v>35</v>
      </c>
      <c r="B2340" s="21" t="s">
        <v>25</v>
      </c>
      <c r="C2340" s="21" t="s">
        <v>26</v>
      </c>
      <c r="D2340" s="21" t="s">
        <v>27</v>
      </c>
      <c r="E2340" s="22" t="s">
        <v>23</v>
      </c>
      <c r="F2340" s="20" t="s">
        <v>27</v>
      </c>
      <c r="G2340" s="20" t="s">
        <v>27</v>
      </c>
    </row>
    <row r="2341" ht="22" customHeight="1" spans="1:7" x14ac:dyDescent="0.25">
      <c r="A2341" s="16" t="s">
        <v>36</v>
      </c>
      <c r="B2341" s="17" t="s">
        <v>568</v>
      </c>
      <c r="C2341" s="17" t="s">
        <v>467</v>
      </c>
      <c r="D2341" s="17" t="s">
        <v>23</v>
      </c>
      <c r="E2341" s="18">
        <v>40</v>
      </c>
      <c r="F2341" s="16" t="s">
        <v>27</v>
      </c>
      <c r="G2341" s="16" t="s">
        <v>23</v>
      </c>
    </row>
    <row r="2342" ht="24" customHeight="1" spans="1:7" x14ac:dyDescent="0.25">
      <c r="A2342" s="23" t="s">
        <v>38</v>
      </c>
      <c r="B2342" s="23" t="s">
        <v>39</v>
      </c>
      <c r="C2342" s="24" t="s">
        <v>40</v>
      </c>
      <c r="D2342" s="24" t="s">
        <v>41</v>
      </c>
      <c r="E2342" s="25">
        <f>SUM(E2335,E2337,E2339,E2341)</f>
        <v>159.5</v>
      </c>
      <c r="F2342" s="23" t="str">
        <f>ROUND(E2342/60, 1) &amp; " Saat"</f>
        <v>2.7 Saat</v>
      </c>
      <c r="G2342" s="23" t="str">
        <f>COUNTIF(G2335:G2341, "X") &amp; "/4"</f>
        <v>0/4</v>
      </c>
    </row>
    <row r="2343" ht="28" customHeight="1" spans="1:7" x14ac:dyDescent="0.25">
      <c r="A2343" s="26" t="s">
        <v>79</v>
      </c>
      <c r="B2343" s="26"/>
      <c r="C2343" s="26"/>
      <c r="D2343" s="26"/>
      <c r="E2343" s="26"/>
      <c r="F2343" s="26"/>
      <c r="G2343" s="26"/>
    </row>
    <row r="2344" ht="8" customHeight="1" x14ac:dyDescent="0.25"/>
    <row r="2345" ht="25" customHeight="1" spans="1:7" x14ac:dyDescent="0.25">
      <c r="A2345" s="14" t="s">
        <v>861</v>
      </c>
      <c r="B2345" s="14"/>
      <c r="C2345" s="14"/>
      <c r="D2345" s="14"/>
      <c r="E2345" s="14"/>
      <c r="F2345" s="14"/>
      <c r="G2345" s="14"/>
    </row>
    <row r="2346" ht="22" customHeight="1" spans="1:7" x14ac:dyDescent="0.25">
      <c r="A2346" s="15" t="s">
        <v>17</v>
      </c>
      <c r="B2346" s="15"/>
      <c r="C2346" s="15"/>
      <c r="D2346" s="15"/>
      <c r="E2346" s="15"/>
      <c r="F2346" s="15"/>
      <c r="G2346" s="15"/>
    </row>
    <row r="2347" ht="22" customHeight="1" spans="1:7" x14ac:dyDescent="0.25">
      <c r="A2347" s="16" t="s">
        <v>18</v>
      </c>
      <c r="B2347" s="17" t="s">
        <v>19</v>
      </c>
      <c r="C2347" s="17" t="s">
        <v>467</v>
      </c>
      <c r="D2347" s="17" t="s">
        <v>23</v>
      </c>
      <c r="E2347" s="18">
        <v>40</v>
      </c>
      <c r="F2347" s="16" t="s">
        <v>27</v>
      </c>
      <c r="G2347" s="16" t="s">
        <v>23</v>
      </c>
    </row>
    <row r="2348" ht="20" customHeight="1" spans="1:7" x14ac:dyDescent="0.25">
      <c r="A2348" s="20" t="s">
        <v>24</v>
      </c>
      <c r="B2348" s="21" t="s">
        <v>25</v>
      </c>
      <c r="C2348" s="21" t="s">
        <v>26</v>
      </c>
      <c r="D2348" s="21" t="s">
        <v>27</v>
      </c>
      <c r="E2348" s="22" t="s">
        <v>23</v>
      </c>
      <c r="F2348" s="20" t="s">
        <v>27</v>
      </c>
      <c r="G2348" s="20" t="s">
        <v>27</v>
      </c>
    </row>
    <row r="2349" ht="22" customHeight="1" spans="1:7" x14ac:dyDescent="0.25">
      <c r="A2349" s="16" t="s">
        <v>28</v>
      </c>
      <c r="B2349" s="17" t="s">
        <v>19</v>
      </c>
      <c r="C2349" s="17" t="s">
        <v>467</v>
      </c>
      <c r="D2349" s="17" t="s">
        <v>23</v>
      </c>
      <c r="E2349" s="18">
        <v>40</v>
      </c>
      <c r="F2349" s="16" t="s">
        <v>27</v>
      </c>
      <c r="G2349" s="16" t="s">
        <v>23</v>
      </c>
    </row>
    <row r="2350" ht="20" customHeight="1" spans="1:7" x14ac:dyDescent="0.25">
      <c r="A2350" s="20" t="s">
        <v>30</v>
      </c>
      <c r="B2350" s="21" t="s">
        <v>25</v>
      </c>
      <c r="C2350" s="21" t="s">
        <v>26</v>
      </c>
      <c r="D2350" s="21" t="s">
        <v>27</v>
      </c>
      <c r="E2350" s="22" t="s">
        <v>23</v>
      </c>
      <c r="F2350" s="20" t="s">
        <v>27</v>
      </c>
      <c r="G2350" s="20" t="s">
        <v>27</v>
      </c>
    </row>
    <row r="2351" ht="22" customHeight="1" spans="1:7" x14ac:dyDescent="0.25">
      <c r="A2351" s="16" t="s">
        <v>31</v>
      </c>
      <c r="B2351" s="17" t="s">
        <v>32</v>
      </c>
      <c r="C2351" s="17" t="s">
        <v>467</v>
      </c>
      <c r="D2351" s="17" t="s">
        <v>23</v>
      </c>
      <c r="E2351" s="18">
        <v>40</v>
      </c>
      <c r="F2351" s="16" t="s">
        <v>27</v>
      </c>
      <c r="G2351" s="16" t="s">
        <v>23</v>
      </c>
    </row>
    <row r="2352" ht="20" customHeight="1" spans="1:7" x14ac:dyDescent="0.25">
      <c r="A2352" s="20" t="s">
        <v>35</v>
      </c>
      <c r="B2352" s="21" t="s">
        <v>25</v>
      </c>
      <c r="C2352" s="21" t="s">
        <v>26</v>
      </c>
      <c r="D2352" s="21" t="s">
        <v>27</v>
      </c>
      <c r="E2352" s="22" t="s">
        <v>23</v>
      </c>
      <c r="F2352" s="20" t="s">
        <v>27</v>
      </c>
      <c r="G2352" s="20" t="s">
        <v>27</v>
      </c>
    </row>
    <row r="2353" ht="22" customHeight="1" spans="1:7" x14ac:dyDescent="0.25">
      <c r="A2353" s="16" t="s">
        <v>36</v>
      </c>
      <c r="B2353" s="17" t="s">
        <v>32</v>
      </c>
      <c r="C2353" s="17" t="s">
        <v>467</v>
      </c>
      <c r="D2353" s="17" t="s">
        <v>23</v>
      </c>
      <c r="E2353" s="18">
        <v>40</v>
      </c>
      <c r="F2353" s="16" t="s">
        <v>27</v>
      </c>
      <c r="G2353" s="16" t="s">
        <v>23</v>
      </c>
    </row>
    <row r="2354" ht="24" customHeight="1" spans="1:7" x14ac:dyDescent="0.25">
      <c r="A2354" s="23" t="s">
        <v>38</v>
      </c>
      <c r="B2354" s="23" t="s">
        <v>39</v>
      </c>
      <c r="C2354" s="24" t="s">
        <v>40</v>
      </c>
      <c r="D2354" s="24" t="s">
        <v>41</v>
      </c>
      <c r="E2354" s="25">
        <f>SUM(E2347,E2349,E2351,E2353)</f>
        <v>160</v>
      </c>
      <c r="F2354" s="23" t="str">
        <f>ROUND(E2354/60, 1) &amp; " Saat"</f>
        <v>2.7 Saat</v>
      </c>
      <c r="G2354" s="23" t="str">
        <f>COUNTIF(G2347:G2353, "X") &amp; "/4"</f>
        <v>0/4</v>
      </c>
    </row>
    <row r="2355" ht="22" customHeight="1" spans="1:7" x14ac:dyDescent="0.25">
      <c r="A2355" s="15" t="s">
        <v>42</v>
      </c>
      <c r="B2355" s="15"/>
      <c r="C2355" s="15"/>
      <c r="D2355" s="15"/>
      <c r="E2355" s="15"/>
      <c r="F2355" s="15"/>
      <c r="G2355" s="15"/>
    </row>
    <row r="2356" ht="22" customHeight="1" spans="1:7" x14ac:dyDescent="0.25">
      <c r="A2356" s="16" t="s">
        <v>18</v>
      </c>
      <c r="B2356" s="17" t="s">
        <v>43</v>
      </c>
      <c r="C2356" s="17" t="s">
        <v>467</v>
      </c>
      <c r="D2356" s="17" t="s">
        <v>23</v>
      </c>
      <c r="E2356" s="18">
        <v>40</v>
      </c>
      <c r="F2356" s="16" t="s">
        <v>27</v>
      </c>
      <c r="G2356" s="16" t="s">
        <v>23</v>
      </c>
    </row>
    <row r="2357" ht="20" customHeight="1" spans="1:7" x14ac:dyDescent="0.25">
      <c r="A2357" s="20" t="s">
        <v>24</v>
      </c>
      <c r="B2357" s="21" t="s">
        <v>25</v>
      </c>
      <c r="C2357" s="21" t="s">
        <v>26</v>
      </c>
      <c r="D2357" s="21" t="s">
        <v>27</v>
      </c>
      <c r="E2357" s="22" t="s">
        <v>23</v>
      </c>
      <c r="F2357" s="20" t="s">
        <v>27</v>
      </c>
      <c r="G2357" s="20" t="s">
        <v>27</v>
      </c>
    </row>
    <row r="2358" ht="22" customHeight="1" spans="1:7" x14ac:dyDescent="0.25">
      <c r="A2358" s="16" t="s">
        <v>28</v>
      </c>
      <c r="B2358" s="17" t="s">
        <v>43</v>
      </c>
      <c r="C2358" s="17" t="s">
        <v>467</v>
      </c>
      <c r="D2358" s="17" t="s">
        <v>23</v>
      </c>
      <c r="E2358" s="18">
        <v>40</v>
      </c>
      <c r="F2358" s="16" t="s">
        <v>27</v>
      </c>
      <c r="G2358" s="16" t="s">
        <v>23</v>
      </c>
    </row>
    <row r="2359" ht="20" customHeight="1" spans="1:7" x14ac:dyDescent="0.25">
      <c r="A2359" s="20" t="s">
        <v>30</v>
      </c>
      <c r="B2359" s="21" t="s">
        <v>25</v>
      </c>
      <c r="C2359" s="21" t="s">
        <v>26</v>
      </c>
      <c r="D2359" s="21" t="s">
        <v>27</v>
      </c>
      <c r="E2359" s="22" t="s">
        <v>23</v>
      </c>
      <c r="F2359" s="20" t="s">
        <v>27</v>
      </c>
      <c r="G2359" s="20" t="s">
        <v>27</v>
      </c>
    </row>
    <row r="2360" ht="22" customHeight="1" spans="1:7" x14ac:dyDescent="0.25">
      <c r="A2360" s="16" t="s">
        <v>31</v>
      </c>
      <c r="B2360" s="17" t="s">
        <v>47</v>
      </c>
      <c r="C2360" s="17" t="s">
        <v>862</v>
      </c>
      <c r="D2360" s="17" t="s">
        <v>49</v>
      </c>
      <c r="E2360" s="18">
        <v>23.8</v>
      </c>
      <c r="F2360" s="19" t="s">
        <v>22</v>
      </c>
      <c r="G2360" s="16" t="s">
        <v>23</v>
      </c>
    </row>
    <row r="2361" ht="20" customHeight="1" spans="1:7" x14ac:dyDescent="0.25">
      <c r="A2361" s="20" t="s">
        <v>35</v>
      </c>
      <c r="B2361" s="21" t="s">
        <v>25</v>
      </c>
      <c r="C2361" s="21" t="s">
        <v>26</v>
      </c>
      <c r="D2361" s="21" t="s">
        <v>27</v>
      </c>
      <c r="E2361" s="22" t="s">
        <v>23</v>
      </c>
      <c r="F2361" s="20" t="s">
        <v>27</v>
      </c>
      <c r="G2361" s="20" t="s">
        <v>27</v>
      </c>
    </row>
    <row r="2362" ht="22" customHeight="1" spans="1:7" x14ac:dyDescent="0.25">
      <c r="A2362" s="16" t="s">
        <v>36</v>
      </c>
      <c r="B2362" s="17" t="s">
        <v>47</v>
      </c>
      <c r="C2362" s="17" t="s">
        <v>863</v>
      </c>
      <c r="D2362" s="17" t="s">
        <v>49</v>
      </c>
      <c r="E2362" s="18">
        <v>28.2</v>
      </c>
      <c r="F2362" s="19" t="s">
        <v>22</v>
      </c>
      <c r="G2362" s="16" t="s">
        <v>23</v>
      </c>
    </row>
    <row r="2363" ht="24" customHeight="1" spans="1:7" x14ac:dyDescent="0.25">
      <c r="A2363" s="23" t="s">
        <v>38</v>
      </c>
      <c r="B2363" s="23" t="s">
        <v>39</v>
      </c>
      <c r="C2363" s="24" t="s">
        <v>40</v>
      </c>
      <c r="D2363" s="24" t="s">
        <v>41</v>
      </c>
      <c r="E2363" s="25">
        <f>SUM(E2356,E2358,E2360,E2362)</f>
        <v>132</v>
      </c>
      <c r="F2363" s="23" t="str">
        <f>ROUND(E2363/60, 1) &amp; " Saat"</f>
        <v>2.2 Saat</v>
      </c>
      <c r="G2363" s="23" t="str">
        <f>COUNTIF(G2356:G2362, "X") &amp; "/4"</f>
        <v>0/4</v>
      </c>
    </row>
    <row r="2364" ht="22" customHeight="1" spans="1:7" x14ac:dyDescent="0.25">
      <c r="A2364" s="15" t="s">
        <v>51</v>
      </c>
      <c r="B2364" s="15"/>
      <c r="C2364" s="15"/>
      <c r="D2364" s="15"/>
      <c r="E2364" s="15"/>
      <c r="F2364" s="15"/>
      <c r="G2364" s="15"/>
    </row>
    <row r="2365" ht="22" customHeight="1" spans="1:7" x14ac:dyDescent="0.25">
      <c r="A2365" s="16" t="s">
        <v>18</v>
      </c>
      <c r="B2365" s="17" t="s">
        <v>52</v>
      </c>
      <c r="C2365" s="17" t="s">
        <v>467</v>
      </c>
      <c r="D2365" s="17" t="s">
        <v>23</v>
      </c>
      <c r="E2365" s="18">
        <v>40</v>
      </c>
      <c r="F2365" s="16" t="s">
        <v>27</v>
      </c>
      <c r="G2365" s="16" t="s">
        <v>23</v>
      </c>
    </row>
    <row r="2366" ht="20" customHeight="1" spans="1:7" x14ac:dyDescent="0.25">
      <c r="A2366" s="20" t="s">
        <v>24</v>
      </c>
      <c r="B2366" s="21" t="s">
        <v>25</v>
      </c>
      <c r="C2366" s="21" t="s">
        <v>26</v>
      </c>
      <c r="D2366" s="21" t="s">
        <v>27</v>
      </c>
      <c r="E2366" s="22" t="s">
        <v>23</v>
      </c>
      <c r="F2366" s="20" t="s">
        <v>27</v>
      </c>
      <c r="G2366" s="20" t="s">
        <v>27</v>
      </c>
    </row>
    <row r="2367" ht="22" customHeight="1" spans="1:7" x14ac:dyDescent="0.25">
      <c r="A2367" s="16" t="s">
        <v>28</v>
      </c>
      <c r="B2367" s="17" t="s">
        <v>52</v>
      </c>
      <c r="C2367" s="17" t="s">
        <v>467</v>
      </c>
      <c r="D2367" s="17" t="s">
        <v>23</v>
      </c>
      <c r="E2367" s="18">
        <v>40</v>
      </c>
      <c r="F2367" s="16" t="s">
        <v>27</v>
      </c>
      <c r="G2367" s="16" t="s">
        <v>23</v>
      </c>
    </row>
    <row r="2368" ht="20" customHeight="1" spans="1:7" x14ac:dyDescent="0.25">
      <c r="A2368" s="20" t="s">
        <v>30</v>
      </c>
      <c r="B2368" s="21" t="s">
        <v>25</v>
      </c>
      <c r="C2368" s="21" t="s">
        <v>26</v>
      </c>
      <c r="D2368" s="21" t="s">
        <v>27</v>
      </c>
      <c r="E2368" s="22" t="s">
        <v>23</v>
      </c>
      <c r="F2368" s="20" t="s">
        <v>27</v>
      </c>
      <c r="G2368" s="20" t="s">
        <v>27</v>
      </c>
    </row>
    <row r="2369" ht="22" customHeight="1" spans="1:7" x14ac:dyDescent="0.25">
      <c r="A2369" s="16" t="s">
        <v>31</v>
      </c>
      <c r="B2369" s="17" t="s">
        <v>56</v>
      </c>
      <c r="C2369" s="17" t="s">
        <v>467</v>
      </c>
      <c r="D2369" s="17" t="s">
        <v>23</v>
      </c>
      <c r="E2369" s="18">
        <v>40</v>
      </c>
      <c r="F2369" s="16" t="s">
        <v>27</v>
      </c>
      <c r="G2369" s="16" t="s">
        <v>23</v>
      </c>
    </row>
    <row r="2370" ht="20" customHeight="1" spans="1:7" x14ac:dyDescent="0.25">
      <c r="A2370" s="20" t="s">
        <v>35</v>
      </c>
      <c r="B2370" s="21" t="s">
        <v>25</v>
      </c>
      <c r="C2370" s="21" t="s">
        <v>26</v>
      </c>
      <c r="D2370" s="21" t="s">
        <v>27</v>
      </c>
      <c r="E2370" s="22" t="s">
        <v>23</v>
      </c>
      <c r="F2370" s="20" t="s">
        <v>27</v>
      </c>
      <c r="G2370" s="20" t="s">
        <v>27</v>
      </c>
    </row>
    <row r="2371" ht="22" customHeight="1" spans="1:7" x14ac:dyDescent="0.25">
      <c r="A2371" s="16" t="s">
        <v>36</v>
      </c>
      <c r="B2371" s="17" t="s">
        <v>56</v>
      </c>
      <c r="C2371" s="17" t="s">
        <v>467</v>
      </c>
      <c r="D2371" s="17" t="s">
        <v>23</v>
      </c>
      <c r="E2371" s="18">
        <v>40</v>
      </c>
      <c r="F2371" s="16" t="s">
        <v>27</v>
      </c>
      <c r="G2371" s="16" t="s">
        <v>23</v>
      </c>
    </row>
    <row r="2372" ht="24" customHeight="1" spans="1:7" x14ac:dyDescent="0.25">
      <c r="A2372" s="23" t="s">
        <v>38</v>
      </c>
      <c r="B2372" s="23" t="s">
        <v>39</v>
      </c>
      <c r="C2372" s="24" t="s">
        <v>40</v>
      </c>
      <c r="D2372" s="24" t="s">
        <v>41</v>
      </c>
      <c r="E2372" s="25">
        <f>SUM(E2365,E2367,E2369,E2371)</f>
        <v>160</v>
      </c>
      <c r="F2372" s="23" t="str">
        <f>ROUND(E2372/60, 1) &amp; " Saat"</f>
        <v>2.7 Saat</v>
      </c>
      <c r="G2372" s="23" t="str">
        <f>COUNTIF(G2365:G2371, "X") &amp; "/4"</f>
        <v>0/4</v>
      </c>
    </row>
    <row r="2373" ht="22" customHeight="1" spans="1:7" x14ac:dyDescent="0.25">
      <c r="A2373" s="15" t="s">
        <v>60</v>
      </c>
      <c r="B2373" s="15"/>
      <c r="C2373" s="15"/>
      <c r="D2373" s="15"/>
      <c r="E2373" s="15"/>
      <c r="F2373" s="15"/>
      <c r="G2373" s="15"/>
    </row>
    <row r="2374" ht="22" customHeight="1" spans="1:7" x14ac:dyDescent="0.25">
      <c r="A2374" s="16" t="s">
        <v>18</v>
      </c>
      <c r="B2374" s="17" t="s">
        <v>43</v>
      </c>
      <c r="C2374" s="17" t="s">
        <v>467</v>
      </c>
      <c r="D2374" s="17" t="s">
        <v>23</v>
      </c>
      <c r="E2374" s="18">
        <v>40</v>
      </c>
      <c r="F2374" s="16" t="s">
        <v>27</v>
      </c>
      <c r="G2374" s="16" t="s">
        <v>23</v>
      </c>
    </row>
    <row r="2375" ht="20" customHeight="1" spans="1:7" x14ac:dyDescent="0.25">
      <c r="A2375" s="20" t="s">
        <v>24</v>
      </c>
      <c r="B2375" s="21" t="s">
        <v>25</v>
      </c>
      <c r="C2375" s="21" t="s">
        <v>26</v>
      </c>
      <c r="D2375" s="21" t="s">
        <v>27</v>
      </c>
      <c r="E2375" s="22" t="s">
        <v>23</v>
      </c>
      <c r="F2375" s="20" t="s">
        <v>27</v>
      </c>
      <c r="G2375" s="20" t="s">
        <v>27</v>
      </c>
    </row>
    <row r="2376" ht="22" customHeight="1" spans="1:7" x14ac:dyDescent="0.25">
      <c r="A2376" s="16" t="s">
        <v>28</v>
      </c>
      <c r="B2376" s="17" t="s">
        <v>43</v>
      </c>
      <c r="C2376" s="17" t="s">
        <v>467</v>
      </c>
      <c r="D2376" s="17" t="s">
        <v>23</v>
      </c>
      <c r="E2376" s="18">
        <v>40</v>
      </c>
      <c r="F2376" s="16" t="s">
        <v>27</v>
      </c>
      <c r="G2376" s="16" t="s">
        <v>23</v>
      </c>
    </row>
    <row r="2377" ht="20" customHeight="1" spans="1:7" x14ac:dyDescent="0.25">
      <c r="A2377" s="20" t="s">
        <v>30</v>
      </c>
      <c r="B2377" s="21" t="s">
        <v>25</v>
      </c>
      <c r="C2377" s="21" t="s">
        <v>26</v>
      </c>
      <c r="D2377" s="21" t="s">
        <v>27</v>
      </c>
      <c r="E2377" s="22" t="s">
        <v>23</v>
      </c>
      <c r="F2377" s="20" t="s">
        <v>27</v>
      </c>
      <c r="G2377" s="20" t="s">
        <v>27</v>
      </c>
    </row>
    <row r="2378" ht="22" customHeight="1" spans="1:7" x14ac:dyDescent="0.25">
      <c r="A2378" s="16" t="s">
        <v>31</v>
      </c>
      <c r="B2378" s="17" t="s">
        <v>63</v>
      </c>
      <c r="C2378" s="17" t="s">
        <v>467</v>
      </c>
      <c r="D2378" s="17" t="s">
        <v>23</v>
      </c>
      <c r="E2378" s="18">
        <v>40</v>
      </c>
      <c r="F2378" s="16" t="s">
        <v>27</v>
      </c>
      <c r="G2378" s="16" t="s">
        <v>23</v>
      </c>
    </row>
    <row r="2379" ht="20" customHeight="1" spans="1:7" x14ac:dyDescent="0.25">
      <c r="A2379" s="20" t="s">
        <v>35</v>
      </c>
      <c r="B2379" s="21" t="s">
        <v>25</v>
      </c>
      <c r="C2379" s="21" t="s">
        <v>26</v>
      </c>
      <c r="D2379" s="21" t="s">
        <v>27</v>
      </c>
      <c r="E2379" s="22" t="s">
        <v>23</v>
      </c>
      <c r="F2379" s="20" t="s">
        <v>27</v>
      </c>
      <c r="G2379" s="20" t="s">
        <v>27</v>
      </c>
    </row>
    <row r="2380" ht="22" customHeight="1" spans="1:7" x14ac:dyDescent="0.25">
      <c r="A2380" s="16" t="s">
        <v>36</v>
      </c>
      <c r="B2380" s="17" t="s">
        <v>63</v>
      </c>
      <c r="C2380" s="17" t="s">
        <v>467</v>
      </c>
      <c r="D2380" s="17" t="s">
        <v>23</v>
      </c>
      <c r="E2380" s="18">
        <v>40</v>
      </c>
      <c r="F2380" s="16" t="s">
        <v>27</v>
      </c>
      <c r="G2380" s="16" t="s">
        <v>23</v>
      </c>
    </row>
    <row r="2381" ht="24" customHeight="1" spans="1:7" x14ac:dyDescent="0.25">
      <c r="A2381" s="23" t="s">
        <v>38</v>
      </c>
      <c r="B2381" s="23" t="s">
        <v>39</v>
      </c>
      <c r="C2381" s="24" t="s">
        <v>40</v>
      </c>
      <c r="D2381" s="24" t="s">
        <v>41</v>
      </c>
      <c r="E2381" s="25">
        <f>SUM(E2374,E2376,E2378,E2380)</f>
        <v>160</v>
      </c>
      <c r="F2381" s="23" t="str">
        <f>ROUND(E2381/60, 1) &amp; " Saat"</f>
        <v>2.7 Saat</v>
      </c>
      <c r="G2381" s="23" t="str">
        <f>COUNTIF(G2374:G2380, "X") &amp; "/4"</f>
        <v>0/4</v>
      </c>
    </row>
    <row r="2382" ht="22" customHeight="1" spans="1:7" x14ac:dyDescent="0.25">
      <c r="A2382" s="15" t="s">
        <v>67</v>
      </c>
      <c r="B2382" s="15"/>
      <c r="C2382" s="15"/>
      <c r="D2382" s="15"/>
      <c r="E2382" s="15"/>
      <c r="F2382" s="15"/>
      <c r="G2382" s="15"/>
    </row>
    <row r="2383" ht="22" customHeight="1" spans="1:7" x14ac:dyDescent="0.25">
      <c r="A2383" s="16" t="s">
        <v>18</v>
      </c>
      <c r="B2383" s="17" t="s">
        <v>68</v>
      </c>
      <c r="C2383" s="17" t="s">
        <v>467</v>
      </c>
      <c r="D2383" s="17" t="s">
        <v>23</v>
      </c>
      <c r="E2383" s="18">
        <v>40</v>
      </c>
      <c r="F2383" s="16" t="s">
        <v>27</v>
      </c>
      <c r="G2383" s="16" t="s">
        <v>23</v>
      </c>
    </row>
    <row r="2384" ht="20" customHeight="1" spans="1:7" x14ac:dyDescent="0.25">
      <c r="A2384" s="20" t="s">
        <v>24</v>
      </c>
      <c r="B2384" s="21" t="s">
        <v>25</v>
      </c>
      <c r="C2384" s="21" t="s">
        <v>26</v>
      </c>
      <c r="D2384" s="21" t="s">
        <v>27</v>
      </c>
      <c r="E2384" s="22" t="s">
        <v>23</v>
      </c>
      <c r="F2384" s="20" t="s">
        <v>27</v>
      </c>
      <c r="G2384" s="20" t="s">
        <v>27</v>
      </c>
    </row>
    <row r="2385" ht="22" customHeight="1" spans="1:7" x14ac:dyDescent="0.25">
      <c r="A2385" s="16" t="s">
        <v>28</v>
      </c>
      <c r="B2385" s="17" t="s">
        <v>68</v>
      </c>
      <c r="C2385" s="17" t="s">
        <v>467</v>
      </c>
      <c r="D2385" s="17" t="s">
        <v>23</v>
      </c>
      <c r="E2385" s="18">
        <v>40</v>
      </c>
      <c r="F2385" s="16" t="s">
        <v>27</v>
      </c>
      <c r="G2385" s="16" t="s">
        <v>23</v>
      </c>
    </row>
    <row r="2386" ht="20" customHeight="1" spans="1:7" x14ac:dyDescent="0.25">
      <c r="A2386" s="20" t="s">
        <v>30</v>
      </c>
      <c r="B2386" s="21" t="s">
        <v>25</v>
      </c>
      <c r="C2386" s="21" t="s">
        <v>26</v>
      </c>
      <c r="D2386" s="21" t="s">
        <v>27</v>
      </c>
      <c r="E2386" s="22" t="s">
        <v>23</v>
      </c>
      <c r="F2386" s="20" t="s">
        <v>27</v>
      </c>
      <c r="G2386" s="20" t="s">
        <v>27</v>
      </c>
    </row>
    <row r="2387" ht="22" customHeight="1" spans="1:7" x14ac:dyDescent="0.25">
      <c r="A2387" s="16" t="s">
        <v>31</v>
      </c>
      <c r="B2387" s="17" t="s">
        <v>449</v>
      </c>
      <c r="C2387" s="17" t="s">
        <v>864</v>
      </c>
      <c r="D2387" s="17" t="s">
        <v>34</v>
      </c>
      <c r="E2387" s="18">
        <v>55.9</v>
      </c>
      <c r="F2387" s="19" t="s">
        <v>22</v>
      </c>
      <c r="G2387" s="16" t="s">
        <v>23</v>
      </c>
    </row>
    <row r="2388" ht="20" customHeight="1" spans="1:7" x14ac:dyDescent="0.25">
      <c r="A2388" s="20" t="s">
        <v>35</v>
      </c>
      <c r="B2388" s="21" t="s">
        <v>25</v>
      </c>
      <c r="C2388" s="21" t="s">
        <v>26</v>
      </c>
      <c r="D2388" s="21" t="s">
        <v>27</v>
      </c>
      <c r="E2388" s="22" t="s">
        <v>23</v>
      </c>
      <c r="F2388" s="20" t="s">
        <v>27</v>
      </c>
      <c r="G2388" s="20" t="s">
        <v>27</v>
      </c>
    </row>
    <row r="2389" ht="22" customHeight="1" spans="1:7" x14ac:dyDescent="0.25">
      <c r="A2389" s="16" t="s">
        <v>36</v>
      </c>
      <c r="B2389" s="17" t="s">
        <v>449</v>
      </c>
      <c r="C2389" s="17" t="s">
        <v>865</v>
      </c>
      <c r="D2389" s="17" t="s">
        <v>34</v>
      </c>
      <c r="E2389" s="18">
        <v>61.9</v>
      </c>
      <c r="F2389" s="19" t="s">
        <v>22</v>
      </c>
      <c r="G2389" s="16" t="s">
        <v>23</v>
      </c>
    </row>
    <row r="2390" ht="24" customHeight="1" spans="1:7" x14ac:dyDescent="0.25">
      <c r="A2390" s="23" t="s">
        <v>38</v>
      </c>
      <c r="B2390" s="23" t="s">
        <v>39</v>
      </c>
      <c r="C2390" s="24" t="s">
        <v>40</v>
      </c>
      <c r="D2390" s="24" t="s">
        <v>41</v>
      </c>
      <c r="E2390" s="25">
        <f>SUM(E2383,E2385,E2387,E2389)</f>
        <v>197.8</v>
      </c>
      <c r="F2390" s="23" t="str">
        <f>ROUND(E2390/60, 1) &amp; " Saat"</f>
        <v>3.3 Saat</v>
      </c>
      <c r="G2390" s="23" t="str">
        <f>COUNTIF(G2383:G2389, "X") &amp; "/4"</f>
        <v>0/4</v>
      </c>
    </row>
    <row r="2391" ht="22" customHeight="1" spans="1:7" x14ac:dyDescent="0.25">
      <c r="A2391" s="15" t="s">
        <v>74</v>
      </c>
      <c r="B2391" s="15"/>
      <c r="C2391" s="15"/>
      <c r="D2391" s="15"/>
      <c r="E2391" s="15"/>
      <c r="F2391" s="15"/>
      <c r="G2391" s="15"/>
    </row>
    <row r="2392" ht="22" customHeight="1" spans="1:7" x14ac:dyDescent="0.25">
      <c r="A2392" s="16" t="s">
        <v>18</v>
      </c>
      <c r="B2392" s="17" t="s">
        <v>47</v>
      </c>
      <c r="C2392" s="17" t="s">
        <v>467</v>
      </c>
      <c r="D2392" s="17" t="s">
        <v>23</v>
      </c>
      <c r="E2392" s="18">
        <v>40</v>
      </c>
      <c r="F2392" s="16" t="s">
        <v>27</v>
      </c>
      <c r="G2392" s="16" t="s">
        <v>23</v>
      </c>
    </row>
    <row r="2393" ht="20" customHeight="1" spans="1:7" x14ac:dyDescent="0.25">
      <c r="A2393" s="20" t="s">
        <v>24</v>
      </c>
      <c r="B2393" s="21" t="s">
        <v>25</v>
      </c>
      <c r="C2393" s="21" t="s">
        <v>26</v>
      </c>
      <c r="D2393" s="21" t="s">
        <v>27</v>
      </c>
      <c r="E2393" s="22" t="s">
        <v>23</v>
      </c>
      <c r="F2393" s="20" t="s">
        <v>27</v>
      </c>
      <c r="G2393" s="20" t="s">
        <v>27</v>
      </c>
    </row>
    <row r="2394" ht="22" customHeight="1" spans="1:7" x14ac:dyDescent="0.25">
      <c r="A2394" s="16" t="s">
        <v>28</v>
      </c>
      <c r="B2394" s="17" t="s">
        <v>47</v>
      </c>
      <c r="C2394" s="17" t="s">
        <v>467</v>
      </c>
      <c r="D2394" s="17" t="s">
        <v>23</v>
      </c>
      <c r="E2394" s="18">
        <v>40</v>
      </c>
      <c r="F2394" s="16" t="s">
        <v>27</v>
      </c>
      <c r="G2394" s="16" t="s">
        <v>23</v>
      </c>
    </row>
    <row r="2395" ht="20" customHeight="1" spans="1:7" x14ac:dyDescent="0.25">
      <c r="A2395" s="20" t="s">
        <v>30</v>
      </c>
      <c r="B2395" s="21" t="s">
        <v>25</v>
      </c>
      <c r="C2395" s="21" t="s">
        <v>26</v>
      </c>
      <c r="D2395" s="21" t="s">
        <v>27</v>
      </c>
      <c r="E2395" s="22" t="s">
        <v>23</v>
      </c>
      <c r="F2395" s="20" t="s">
        <v>27</v>
      </c>
      <c r="G2395" s="20" t="s">
        <v>27</v>
      </c>
    </row>
    <row r="2396" ht="22" customHeight="1" spans="1:7" x14ac:dyDescent="0.25">
      <c r="A2396" s="16" t="s">
        <v>31</v>
      </c>
      <c r="B2396" s="17" t="s">
        <v>568</v>
      </c>
      <c r="C2396" s="17" t="s">
        <v>467</v>
      </c>
      <c r="D2396" s="17" t="s">
        <v>23</v>
      </c>
      <c r="E2396" s="18">
        <v>40</v>
      </c>
      <c r="F2396" s="16" t="s">
        <v>27</v>
      </c>
      <c r="G2396" s="16" t="s">
        <v>23</v>
      </c>
    </row>
    <row r="2397" ht="20" customHeight="1" spans="1:7" x14ac:dyDescent="0.25">
      <c r="A2397" s="20" t="s">
        <v>35</v>
      </c>
      <c r="B2397" s="21" t="s">
        <v>25</v>
      </c>
      <c r="C2397" s="21" t="s">
        <v>26</v>
      </c>
      <c r="D2397" s="21" t="s">
        <v>27</v>
      </c>
      <c r="E2397" s="22" t="s">
        <v>23</v>
      </c>
      <c r="F2397" s="20" t="s">
        <v>27</v>
      </c>
      <c r="G2397" s="20" t="s">
        <v>27</v>
      </c>
    </row>
    <row r="2398" ht="22" customHeight="1" spans="1:7" x14ac:dyDescent="0.25">
      <c r="A2398" s="16" t="s">
        <v>36</v>
      </c>
      <c r="B2398" s="17" t="s">
        <v>568</v>
      </c>
      <c r="C2398" s="17" t="s">
        <v>467</v>
      </c>
      <c r="D2398" s="17" t="s">
        <v>23</v>
      </c>
      <c r="E2398" s="18">
        <v>40</v>
      </c>
      <c r="F2398" s="16" t="s">
        <v>27</v>
      </c>
      <c r="G2398" s="16" t="s">
        <v>23</v>
      </c>
    </row>
    <row r="2399" ht="24" customHeight="1" spans="1:7" x14ac:dyDescent="0.25">
      <c r="A2399" s="23" t="s">
        <v>38</v>
      </c>
      <c r="B2399" s="23" t="s">
        <v>39</v>
      </c>
      <c r="C2399" s="24" t="s">
        <v>40</v>
      </c>
      <c r="D2399" s="24" t="s">
        <v>41</v>
      </c>
      <c r="E2399" s="25">
        <f>SUM(E2392,E2394,E2396,E2398)</f>
        <v>160</v>
      </c>
      <c r="F2399" s="23" t="str">
        <f>ROUND(E2399/60, 1) &amp; " Saat"</f>
        <v>2.7 Saat</v>
      </c>
      <c r="G2399" s="23" t="str">
        <f>COUNTIF(G2392:G2398, "X") &amp; "/4"</f>
        <v>0/4</v>
      </c>
    </row>
    <row r="2400" ht="28" customHeight="1" spans="1:7" x14ac:dyDescent="0.25">
      <c r="A2400" s="26" t="s">
        <v>79</v>
      </c>
      <c r="B2400" s="26"/>
      <c r="C2400" s="26"/>
      <c r="D2400" s="26"/>
      <c r="E2400" s="26"/>
      <c r="F2400" s="26"/>
      <c r="G2400" s="26"/>
    </row>
    <row r="2401" ht="8" customHeight="1" x14ac:dyDescent="0.25"/>
  </sheetData>
  <mergeCells count="339">
    <mergeCell ref="A1:G1"/>
    <mergeCell ref="A2:G2"/>
    <mergeCell ref="A4:A5"/>
    <mergeCell ref="A8:G8"/>
    <mergeCell ref="A9:G9"/>
    <mergeCell ref="A18:G18"/>
    <mergeCell ref="A27:G27"/>
    <mergeCell ref="A36:G36"/>
    <mergeCell ref="A45:G45"/>
    <mergeCell ref="A54:G54"/>
    <mergeCell ref="A63:G63"/>
    <mergeCell ref="A65:G65"/>
    <mergeCell ref="A66:G66"/>
    <mergeCell ref="A75:G75"/>
    <mergeCell ref="A84:G84"/>
    <mergeCell ref="A93:G93"/>
    <mergeCell ref="A102:G102"/>
    <mergeCell ref="A111:G111"/>
    <mergeCell ref="A120:G120"/>
    <mergeCell ref="A122:G122"/>
    <mergeCell ref="A123:G123"/>
    <mergeCell ref="A132:G132"/>
    <mergeCell ref="A141:G141"/>
    <mergeCell ref="A150:G150"/>
    <mergeCell ref="A159:G159"/>
    <mergeCell ref="A168:G168"/>
    <mergeCell ref="A177:G177"/>
    <mergeCell ref="A179:G179"/>
    <mergeCell ref="A180:G180"/>
    <mergeCell ref="A189:G189"/>
    <mergeCell ref="A198:G198"/>
    <mergeCell ref="A207:G207"/>
    <mergeCell ref="A216:G216"/>
    <mergeCell ref="A225:G225"/>
    <mergeCell ref="A234:G234"/>
    <mergeCell ref="A236:G236"/>
    <mergeCell ref="A237:G237"/>
    <mergeCell ref="A246:G246"/>
    <mergeCell ref="A255:G255"/>
    <mergeCell ref="A264:G264"/>
    <mergeCell ref="A273:G273"/>
    <mergeCell ref="A282:G282"/>
    <mergeCell ref="A291:G291"/>
    <mergeCell ref="A293:G293"/>
    <mergeCell ref="A294:G294"/>
    <mergeCell ref="A303:G303"/>
    <mergeCell ref="A312:G312"/>
    <mergeCell ref="A321:G321"/>
    <mergeCell ref="A330:G330"/>
    <mergeCell ref="A339:G339"/>
    <mergeCell ref="A348:G348"/>
    <mergeCell ref="A350:G350"/>
    <mergeCell ref="A351:G351"/>
    <mergeCell ref="A360:G360"/>
    <mergeCell ref="A369:G369"/>
    <mergeCell ref="A378:G378"/>
    <mergeCell ref="A387:G387"/>
    <mergeCell ref="A396:G396"/>
    <mergeCell ref="A405:G405"/>
    <mergeCell ref="A407:G407"/>
    <mergeCell ref="A408:G408"/>
    <mergeCell ref="A417:G417"/>
    <mergeCell ref="A426:G426"/>
    <mergeCell ref="A435:G435"/>
    <mergeCell ref="A444:G444"/>
    <mergeCell ref="A453:G453"/>
    <mergeCell ref="A462:G462"/>
    <mergeCell ref="A464:G464"/>
    <mergeCell ref="A465:G465"/>
    <mergeCell ref="A474:G474"/>
    <mergeCell ref="A483:G483"/>
    <mergeCell ref="A492:G492"/>
    <mergeCell ref="A501:G501"/>
    <mergeCell ref="A510:G510"/>
    <mergeCell ref="A519:G519"/>
    <mergeCell ref="A521:G521"/>
    <mergeCell ref="A522:G522"/>
    <mergeCell ref="A531:G531"/>
    <mergeCell ref="A540:G540"/>
    <mergeCell ref="A549:G549"/>
    <mergeCell ref="A558:G558"/>
    <mergeCell ref="A567:G567"/>
    <mergeCell ref="A576:G576"/>
    <mergeCell ref="A578:G578"/>
    <mergeCell ref="A579:G579"/>
    <mergeCell ref="A588:G588"/>
    <mergeCell ref="A597:G597"/>
    <mergeCell ref="A606:G606"/>
    <mergeCell ref="A615:G615"/>
    <mergeCell ref="A624:G624"/>
    <mergeCell ref="A633:G633"/>
    <mergeCell ref="A635:G635"/>
    <mergeCell ref="A636:G636"/>
    <mergeCell ref="A645:G645"/>
    <mergeCell ref="A654:G654"/>
    <mergeCell ref="A663:G663"/>
    <mergeCell ref="A672:G672"/>
    <mergeCell ref="A681:G681"/>
    <mergeCell ref="A690:G690"/>
    <mergeCell ref="A692:G692"/>
    <mergeCell ref="A693:G693"/>
    <mergeCell ref="A702:G702"/>
    <mergeCell ref="A711:G711"/>
    <mergeCell ref="A720:G720"/>
    <mergeCell ref="A729:G729"/>
    <mergeCell ref="A738:G738"/>
    <mergeCell ref="A747:G747"/>
    <mergeCell ref="A749:G749"/>
    <mergeCell ref="A750:G750"/>
    <mergeCell ref="A759:G759"/>
    <mergeCell ref="A768:G768"/>
    <mergeCell ref="A777:G777"/>
    <mergeCell ref="A786:G786"/>
    <mergeCell ref="A795:G795"/>
    <mergeCell ref="A804:G804"/>
    <mergeCell ref="A806:G806"/>
    <mergeCell ref="A807:G807"/>
    <mergeCell ref="A816:G816"/>
    <mergeCell ref="A825:G825"/>
    <mergeCell ref="A834:G834"/>
    <mergeCell ref="A843:G843"/>
    <mergeCell ref="A852:G852"/>
    <mergeCell ref="A861:G861"/>
    <mergeCell ref="A863:G863"/>
    <mergeCell ref="A864:G864"/>
    <mergeCell ref="A873:G873"/>
    <mergeCell ref="A882:G882"/>
    <mergeCell ref="A891:G891"/>
    <mergeCell ref="A900:G900"/>
    <mergeCell ref="A909:G909"/>
    <mergeCell ref="A918:G918"/>
    <mergeCell ref="A920:G920"/>
    <mergeCell ref="A921:G921"/>
    <mergeCell ref="A930:G930"/>
    <mergeCell ref="A939:G939"/>
    <mergeCell ref="A948:G948"/>
    <mergeCell ref="A957:G957"/>
    <mergeCell ref="A966:G966"/>
    <mergeCell ref="A975:G975"/>
    <mergeCell ref="A977:G977"/>
    <mergeCell ref="A978:G978"/>
    <mergeCell ref="A987:G987"/>
    <mergeCell ref="A996:G996"/>
    <mergeCell ref="A1005:G1005"/>
    <mergeCell ref="A1014:G1014"/>
    <mergeCell ref="A1023:G1023"/>
    <mergeCell ref="A1032:G1032"/>
    <mergeCell ref="A1034:G1034"/>
    <mergeCell ref="A1035:G1035"/>
    <mergeCell ref="A1044:G1044"/>
    <mergeCell ref="A1053:G1053"/>
    <mergeCell ref="A1062:G1062"/>
    <mergeCell ref="A1071:G1071"/>
    <mergeCell ref="A1080:G1080"/>
    <mergeCell ref="A1089:G1089"/>
    <mergeCell ref="A1091:G1091"/>
    <mergeCell ref="A1092:G1092"/>
    <mergeCell ref="A1101:G1101"/>
    <mergeCell ref="A1110:G1110"/>
    <mergeCell ref="A1119:G1119"/>
    <mergeCell ref="A1128:G1128"/>
    <mergeCell ref="A1137:G1137"/>
    <mergeCell ref="A1146:G1146"/>
    <mergeCell ref="A1148:G1148"/>
    <mergeCell ref="A1149:G1149"/>
    <mergeCell ref="A1158:G1158"/>
    <mergeCell ref="A1167:G1167"/>
    <mergeCell ref="A1176:G1176"/>
    <mergeCell ref="A1185:G1185"/>
    <mergeCell ref="A1194:G1194"/>
    <mergeCell ref="A1203:G1203"/>
    <mergeCell ref="A1205:G1205"/>
    <mergeCell ref="A1206:G1206"/>
    <mergeCell ref="A1215:G1215"/>
    <mergeCell ref="A1224:G1224"/>
    <mergeCell ref="A1233:G1233"/>
    <mergeCell ref="A1242:G1242"/>
    <mergeCell ref="A1251:G1251"/>
    <mergeCell ref="A1260:G1260"/>
    <mergeCell ref="A1262:G1262"/>
    <mergeCell ref="A1263:G1263"/>
    <mergeCell ref="A1272:G1272"/>
    <mergeCell ref="A1281:G1281"/>
    <mergeCell ref="A1290:G1290"/>
    <mergeCell ref="A1299:G1299"/>
    <mergeCell ref="A1308:G1308"/>
    <mergeCell ref="A1317:G1317"/>
    <mergeCell ref="A1319:G1319"/>
    <mergeCell ref="A1320:G1320"/>
    <mergeCell ref="A1329:G1329"/>
    <mergeCell ref="A1338:G1338"/>
    <mergeCell ref="A1347:G1347"/>
    <mergeCell ref="A1356:G1356"/>
    <mergeCell ref="A1365:G1365"/>
    <mergeCell ref="A1374:G1374"/>
    <mergeCell ref="A1376:G1376"/>
    <mergeCell ref="A1377:G1377"/>
    <mergeCell ref="A1386:G1386"/>
    <mergeCell ref="A1395:G1395"/>
    <mergeCell ref="A1404:G1404"/>
    <mergeCell ref="A1413:G1413"/>
    <mergeCell ref="A1422:G1422"/>
    <mergeCell ref="A1431:G1431"/>
    <mergeCell ref="A1433:G1433"/>
    <mergeCell ref="A1434:G1434"/>
    <mergeCell ref="A1443:G1443"/>
    <mergeCell ref="A1452:G1452"/>
    <mergeCell ref="A1461:G1461"/>
    <mergeCell ref="A1470:G1470"/>
    <mergeCell ref="A1479:G1479"/>
    <mergeCell ref="A1488:G1488"/>
    <mergeCell ref="A1490:G1490"/>
    <mergeCell ref="A1491:G1491"/>
    <mergeCell ref="A1500:G1500"/>
    <mergeCell ref="A1509:G1509"/>
    <mergeCell ref="A1518:G1518"/>
    <mergeCell ref="A1527:G1527"/>
    <mergeCell ref="A1536:G1536"/>
    <mergeCell ref="A1545:G1545"/>
    <mergeCell ref="A1547:G1547"/>
    <mergeCell ref="A1548:G1548"/>
    <mergeCell ref="A1557:G1557"/>
    <mergeCell ref="A1566:G1566"/>
    <mergeCell ref="A1575:G1575"/>
    <mergeCell ref="A1584:G1584"/>
    <mergeCell ref="A1593:G1593"/>
    <mergeCell ref="A1602:G1602"/>
    <mergeCell ref="A1604:G1604"/>
    <mergeCell ref="A1605:G1605"/>
    <mergeCell ref="A1614:G1614"/>
    <mergeCell ref="A1623:G1623"/>
    <mergeCell ref="A1632:G1632"/>
    <mergeCell ref="A1641:G1641"/>
    <mergeCell ref="A1650:G1650"/>
    <mergeCell ref="A1659:G1659"/>
    <mergeCell ref="A1661:G1661"/>
    <mergeCell ref="A1662:G1662"/>
    <mergeCell ref="A1671:G1671"/>
    <mergeCell ref="A1680:G1680"/>
    <mergeCell ref="A1689:G1689"/>
    <mergeCell ref="A1698:G1698"/>
    <mergeCell ref="A1707:G1707"/>
    <mergeCell ref="A1716:G1716"/>
    <mergeCell ref="A1718:G1718"/>
    <mergeCell ref="A1719:G1719"/>
    <mergeCell ref="A1728:G1728"/>
    <mergeCell ref="A1737:G1737"/>
    <mergeCell ref="A1746:G1746"/>
    <mergeCell ref="A1755:G1755"/>
    <mergeCell ref="A1764:G1764"/>
    <mergeCell ref="A1773:G1773"/>
    <mergeCell ref="A1775:G1775"/>
    <mergeCell ref="A1776:G1776"/>
    <mergeCell ref="A1785:G1785"/>
    <mergeCell ref="A1794:G1794"/>
    <mergeCell ref="A1803:G1803"/>
    <mergeCell ref="A1812:G1812"/>
    <mergeCell ref="A1821:G1821"/>
    <mergeCell ref="A1830:G1830"/>
    <mergeCell ref="A1832:G1832"/>
    <mergeCell ref="A1833:G1833"/>
    <mergeCell ref="A1842:G1842"/>
    <mergeCell ref="A1851:G1851"/>
    <mergeCell ref="A1860:G1860"/>
    <mergeCell ref="A1869:G1869"/>
    <mergeCell ref="A1878:G1878"/>
    <mergeCell ref="A1887:G1887"/>
    <mergeCell ref="A1889:G1889"/>
    <mergeCell ref="A1890:G1890"/>
    <mergeCell ref="A1899:G1899"/>
    <mergeCell ref="A1908:G1908"/>
    <mergeCell ref="A1917:G1917"/>
    <mergeCell ref="A1926:G1926"/>
    <mergeCell ref="A1935:G1935"/>
    <mergeCell ref="A1944:G1944"/>
    <mergeCell ref="A1946:G1946"/>
    <mergeCell ref="A1947:G1947"/>
    <mergeCell ref="A1956:G1956"/>
    <mergeCell ref="A1965:G1965"/>
    <mergeCell ref="A1974:G1974"/>
    <mergeCell ref="A1983:G1983"/>
    <mergeCell ref="A1992:G1992"/>
    <mergeCell ref="A2001:G2001"/>
    <mergeCell ref="A2003:G2003"/>
    <mergeCell ref="A2004:G2004"/>
    <mergeCell ref="A2013:G2013"/>
    <mergeCell ref="A2022:G2022"/>
    <mergeCell ref="A2031:G2031"/>
    <mergeCell ref="A2040:G2040"/>
    <mergeCell ref="A2049:G2049"/>
    <mergeCell ref="A2058:G2058"/>
    <mergeCell ref="A2060:G2060"/>
    <mergeCell ref="A2061:G2061"/>
    <mergeCell ref="A2070:G2070"/>
    <mergeCell ref="A2079:G2079"/>
    <mergeCell ref="A2088:G2088"/>
    <mergeCell ref="A2097:G2097"/>
    <mergeCell ref="A2106:G2106"/>
    <mergeCell ref="A2115:G2115"/>
    <mergeCell ref="A2117:G2117"/>
    <mergeCell ref="A2118:G2118"/>
    <mergeCell ref="A2127:G2127"/>
    <mergeCell ref="A2136:G2136"/>
    <mergeCell ref="A2145:G2145"/>
    <mergeCell ref="A2154:G2154"/>
    <mergeCell ref="A2163:G2163"/>
    <mergeCell ref="A2172:G2172"/>
    <mergeCell ref="A2174:G2174"/>
    <mergeCell ref="A2175:G2175"/>
    <mergeCell ref="A2184:G2184"/>
    <mergeCell ref="A2193:G2193"/>
    <mergeCell ref="A2202:G2202"/>
    <mergeCell ref="A2211:G2211"/>
    <mergeCell ref="A2220:G2220"/>
    <mergeCell ref="A2229:G2229"/>
    <mergeCell ref="A2231:G2231"/>
    <mergeCell ref="A2232:G2232"/>
    <mergeCell ref="A2241:G2241"/>
    <mergeCell ref="A2250:G2250"/>
    <mergeCell ref="A2259:G2259"/>
    <mergeCell ref="A2268:G2268"/>
    <mergeCell ref="A2277:G2277"/>
    <mergeCell ref="A2286:G2286"/>
    <mergeCell ref="A2288:G2288"/>
    <mergeCell ref="A2289:G2289"/>
    <mergeCell ref="A2298:G2298"/>
    <mergeCell ref="A2307:G2307"/>
    <mergeCell ref="A2316:G2316"/>
    <mergeCell ref="A2325:G2325"/>
    <mergeCell ref="A2334:G2334"/>
    <mergeCell ref="A2343:G2343"/>
    <mergeCell ref="A2345:G2345"/>
    <mergeCell ref="A2346:G2346"/>
    <mergeCell ref="A2355:G2355"/>
    <mergeCell ref="A2364:G2364"/>
    <mergeCell ref="A2373:G2373"/>
    <mergeCell ref="A2382:G2382"/>
    <mergeCell ref="A2391:G2391"/>
    <mergeCell ref="A2400:G2400"/>
  </mergeCells>
  <conditionalFormatting sqref="A8:G2402">
    <cfRule type="expression" dxfId="0" priority="1">
      <formula>$G8="X"</formula>
    </cfRule>
  </conditionalFormatting>
  <hyperlinks>
    <hyperlink ref="F10" r:id="rId1"/>
    <hyperlink ref="F12" r:id="rId2"/>
    <hyperlink ref="F14" r:id="rId3"/>
    <hyperlink ref="F16" r:id="rId4"/>
    <hyperlink ref="F19" r:id="rId5"/>
    <hyperlink ref="F21" r:id="rId6"/>
    <hyperlink ref="F23" r:id="rId7"/>
    <hyperlink ref="F25" r:id="rId8"/>
    <hyperlink ref="F28" r:id="rId9"/>
    <hyperlink ref="F30" r:id="rId10"/>
    <hyperlink ref="F32" r:id="rId11"/>
    <hyperlink ref="F34" r:id="rId12"/>
    <hyperlink ref="F37" r:id="rId13"/>
    <hyperlink ref="F39" r:id="rId14"/>
    <hyperlink ref="F41" r:id="rId15"/>
    <hyperlink ref="F43" r:id="rId16"/>
    <hyperlink ref="F46" r:id="rId17"/>
    <hyperlink ref="F48" r:id="rId18"/>
    <hyperlink ref="F50" r:id="rId19"/>
    <hyperlink ref="F52" r:id="rId20"/>
    <hyperlink ref="F55" r:id="rId21"/>
    <hyperlink ref="F57" r:id="rId22"/>
    <hyperlink ref="F59" r:id="rId23"/>
    <hyperlink ref="F61" r:id="rId24"/>
    <hyperlink ref="F67" r:id="rId25"/>
    <hyperlink ref="F69" r:id="rId26"/>
    <hyperlink ref="F71" r:id="rId27"/>
    <hyperlink ref="F73" r:id="rId28"/>
    <hyperlink ref="F76" r:id="rId29"/>
    <hyperlink ref="F78" r:id="rId30"/>
    <hyperlink ref="F80" r:id="rId31"/>
    <hyperlink ref="F82" r:id="rId32"/>
    <hyperlink ref="F85" r:id="rId33"/>
    <hyperlink ref="F87" r:id="rId34"/>
    <hyperlink ref="F89" r:id="rId35"/>
    <hyperlink ref="F91" r:id="rId36"/>
    <hyperlink ref="F94" r:id="rId37"/>
    <hyperlink ref="F96" r:id="rId38"/>
    <hyperlink ref="F98" r:id="rId39"/>
    <hyperlink ref="F100" r:id="rId40"/>
    <hyperlink ref="F103" r:id="rId41"/>
    <hyperlink ref="F105" r:id="rId42"/>
    <hyperlink ref="F107" r:id="rId43"/>
    <hyperlink ref="F109" r:id="rId44"/>
    <hyperlink ref="F112" r:id="rId45"/>
    <hyperlink ref="F114" r:id="rId46"/>
    <hyperlink ref="F116" r:id="rId47"/>
    <hyperlink ref="F118" r:id="rId48"/>
    <hyperlink ref="F124" r:id="rId49"/>
    <hyperlink ref="F126" r:id="rId50"/>
    <hyperlink ref="F128" r:id="rId51"/>
    <hyperlink ref="F130" r:id="rId52"/>
    <hyperlink ref="F133" r:id="rId53"/>
    <hyperlink ref="F135" r:id="rId54"/>
    <hyperlink ref="F137" r:id="rId55"/>
    <hyperlink ref="F139" r:id="rId56"/>
    <hyperlink ref="F142" r:id="rId57"/>
    <hyperlink ref="F144" r:id="rId58"/>
    <hyperlink ref="F146" r:id="rId59"/>
    <hyperlink ref="F148" r:id="rId60"/>
    <hyperlink ref="F151" r:id="rId61"/>
    <hyperlink ref="F153" r:id="rId62"/>
    <hyperlink ref="F155" r:id="rId63"/>
    <hyperlink ref="F157" r:id="rId64"/>
    <hyperlink ref="F160" r:id="rId65"/>
    <hyperlink ref="F162" r:id="rId66"/>
    <hyperlink ref="F164" r:id="rId67"/>
    <hyperlink ref="F166" r:id="rId68"/>
    <hyperlink ref="F169" r:id="rId69"/>
    <hyperlink ref="F171" r:id="rId70"/>
    <hyperlink ref="F173" r:id="rId71"/>
    <hyperlink ref="F175" r:id="rId72"/>
    <hyperlink ref="F181" r:id="rId73"/>
    <hyperlink ref="F183" r:id="rId74"/>
    <hyperlink ref="F185" r:id="rId75"/>
    <hyperlink ref="F187" r:id="rId76"/>
    <hyperlink ref="F190" r:id="rId77"/>
    <hyperlink ref="F192" r:id="rId78"/>
    <hyperlink ref="F194" r:id="rId79"/>
    <hyperlink ref="F196" r:id="rId80"/>
    <hyperlink ref="F199" r:id="rId81"/>
    <hyperlink ref="F201" r:id="rId82"/>
    <hyperlink ref="F203" r:id="rId83"/>
    <hyperlink ref="F205" r:id="rId84"/>
    <hyperlink ref="F208" r:id="rId85"/>
    <hyperlink ref="F210" r:id="rId86"/>
    <hyperlink ref="F212" r:id="rId87"/>
    <hyperlink ref="F214" r:id="rId88"/>
    <hyperlink ref="F217" r:id="rId89"/>
    <hyperlink ref="F219" r:id="rId90"/>
    <hyperlink ref="F221" r:id="rId91"/>
    <hyperlink ref="F223" r:id="rId92"/>
    <hyperlink ref="F226" r:id="rId93"/>
    <hyperlink ref="F228" r:id="rId94"/>
    <hyperlink ref="F230" r:id="rId95"/>
    <hyperlink ref="F232" r:id="rId96"/>
    <hyperlink ref="F238" r:id="rId97"/>
    <hyperlink ref="F240" r:id="rId98"/>
    <hyperlink ref="F242" r:id="rId99"/>
    <hyperlink ref="F244" r:id="rId100"/>
    <hyperlink ref="F247" r:id="rId101"/>
    <hyperlink ref="F249" r:id="rId102"/>
    <hyperlink ref="F251" r:id="rId103"/>
    <hyperlink ref="F253" r:id="rId104"/>
    <hyperlink ref="F256" r:id="rId105"/>
    <hyperlink ref="F258" r:id="rId106"/>
    <hyperlink ref="F260" r:id="rId107"/>
    <hyperlink ref="F262" r:id="rId108"/>
    <hyperlink ref="F265" r:id="rId109"/>
    <hyperlink ref="F267" r:id="rId110"/>
    <hyperlink ref="F269" r:id="rId111"/>
    <hyperlink ref="F271" r:id="rId112"/>
    <hyperlink ref="F274" r:id="rId113"/>
    <hyperlink ref="F276" r:id="rId114"/>
    <hyperlink ref="F278" r:id="rId115"/>
    <hyperlink ref="F280" r:id="rId116"/>
    <hyperlink ref="F283" r:id="rId117"/>
    <hyperlink ref="F285" r:id="rId118"/>
    <hyperlink ref="F287" r:id="rId119"/>
    <hyperlink ref="F289" r:id="rId120"/>
    <hyperlink ref="F295" r:id="rId121"/>
    <hyperlink ref="F297" r:id="rId122"/>
    <hyperlink ref="F299" r:id="rId123"/>
    <hyperlink ref="F301" r:id="rId124"/>
    <hyperlink ref="F304" r:id="rId125"/>
    <hyperlink ref="F306" r:id="rId126"/>
    <hyperlink ref="F308" r:id="rId127"/>
    <hyperlink ref="F310" r:id="rId128"/>
    <hyperlink ref="F313" r:id="rId129"/>
    <hyperlink ref="F315" r:id="rId130"/>
    <hyperlink ref="F317" r:id="rId131"/>
    <hyperlink ref="F319" r:id="rId132"/>
    <hyperlink ref="F322" r:id="rId133"/>
    <hyperlink ref="F324" r:id="rId134"/>
    <hyperlink ref="F326" r:id="rId135"/>
    <hyperlink ref="F328" r:id="rId136"/>
    <hyperlink ref="F331" r:id="rId137"/>
    <hyperlink ref="F333" r:id="rId138"/>
    <hyperlink ref="F335" r:id="rId139"/>
    <hyperlink ref="F337" r:id="rId140"/>
    <hyperlink ref="F340" r:id="rId141"/>
    <hyperlink ref="F342" r:id="rId142"/>
    <hyperlink ref="F344" r:id="rId143"/>
    <hyperlink ref="F346" r:id="rId144"/>
    <hyperlink ref="F352" r:id="rId145"/>
    <hyperlink ref="F354" r:id="rId146"/>
    <hyperlink ref="F356" r:id="rId147"/>
    <hyperlink ref="F358" r:id="rId148"/>
    <hyperlink ref="F361" r:id="rId149"/>
    <hyperlink ref="F363" r:id="rId150"/>
    <hyperlink ref="F365" r:id="rId151"/>
    <hyperlink ref="F367" r:id="rId152"/>
    <hyperlink ref="F370" r:id="rId153"/>
    <hyperlink ref="F372" r:id="rId154"/>
    <hyperlink ref="F374" r:id="rId155"/>
    <hyperlink ref="F376" r:id="rId156"/>
    <hyperlink ref="F379" r:id="rId157"/>
    <hyperlink ref="F381" r:id="rId158"/>
    <hyperlink ref="F383" r:id="rId159"/>
    <hyperlink ref="F385" r:id="rId160"/>
    <hyperlink ref="F388" r:id="rId161"/>
    <hyperlink ref="F390" r:id="rId162"/>
    <hyperlink ref="F392" r:id="rId163"/>
    <hyperlink ref="F394" r:id="rId164"/>
    <hyperlink ref="F397" r:id="rId165"/>
    <hyperlink ref="F399" r:id="rId166"/>
    <hyperlink ref="F401" r:id="rId167"/>
    <hyperlink ref="F403" r:id="rId168"/>
    <hyperlink ref="F409" r:id="rId169"/>
    <hyperlink ref="F411" r:id="rId170"/>
    <hyperlink ref="F413" r:id="rId171"/>
    <hyperlink ref="F415" r:id="rId172"/>
    <hyperlink ref="F418" r:id="rId173"/>
    <hyperlink ref="F420" r:id="rId174"/>
    <hyperlink ref="F422" r:id="rId175"/>
    <hyperlink ref="F424" r:id="rId176"/>
    <hyperlink ref="F427" r:id="rId177"/>
    <hyperlink ref="F429" r:id="rId178"/>
    <hyperlink ref="F431" r:id="rId179"/>
    <hyperlink ref="F433" r:id="rId180"/>
    <hyperlink ref="F436" r:id="rId181"/>
    <hyperlink ref="F438" r:id="rId182"/>
    <hyperlink ref="F440" r:id="rId183"/>
    <hyperlink ref="F442" r:id="rId184"/>
    <hyperlink ref="F445" r:id="rId185"/>
    <hyperlink ref="F447" r:id="rId186"/>
    <hyperlink ref="F449" r:id="rId187"/>
    <hyperlink ref="F451" r:id="rId188"/>
    <hyperlink ref="F454" r:id="rId189"/>
    <hyperlink ref="F456" r:id="rId190"/>
    <hyperlink ref="F458" r:id="rId191"/>
    <hyperlink ref="F460" r:id="rId192"/>
    <hyperlink ref="F466" r:id="rId193"/>
    <hyperlink ref="F468" r:id="rId194"/>
    <hyperlink ref="F470" r:id="rId195"/>
    <hyperlink ref="F472" r:id="rId196"/>
    <hyperlink ref="F475" r:id="rId197"/>
    <hyperlink ref="F477" r:id="rId198"/>
    <hyperlink ref="F479" r:id="rId199"/>
    <hyperlink ref="F481" r:id="rId200"/>
    <hyperlink ref="F484" r:id="rId201"/>
    <hyperlink ref="F486" r:id="rId202"/>
    <hyperlink ref="F488" r:id="rId203"/>
    <hyperlink ref="F490" r:id="rId204"/>
    <hyperlink ref="F493" r:id="rId205"/>
    <hyperlink ref="F495" r:id="rId206"/>
    <hyperlink ref="F497" r:id="rId207"/>
    <hyperlink ref="F499" r:id="rId208"/>
    <hyperlink ref="F502" r:id="rId209"/>
    <hyperlink ref="F504" r:id="rId210"/>
    <hyperlink ref="F506" r:id="rId211"/>
    <hyperlink ref="F508" r:id="rId212"/>
    <hyperlink ref="F511" r:id="rId213"/>
    <hyperlink ref="F513" r:id="rId214"/>
    <hyperlink ref="F515" r:id="rId215"/>
    <hyperlink ref="F517" r:id="rId216"/>
    <hyperlink ref="F523" r:id="rId217"/>
    <hyperlink ref="F525" r:id="rId218"/>
    <hyperlink ref="F527" r:id="rId219"/>
    <hyperlink ref="F529" r:id="rId220"/>
    <hyperlink ref="F532" r:id="rId221"/>
    <hyperlink ref="F534" r:id="rId222"/>
    <hyperlink ref="F536" r:id="rId223"/>
    <hyperlink ref="F538" r:id="rId224"/>
    <hyperlink ref="F541" r:id="rId225"/>
    <hyperlink ref="F543" r:id="rId226"/>
    <hyperlink ref="F545" r:id="rId227"/>
    <hyperlink ref="F547" r:id="rId228"/>
    <hyperlink ref="F550" r:id="rId229"/>
    <hyperlink ref="F552" r:id="rId230"/>
    <hyperlink ref="F554" r:id="rId231"/>
    <hyperlink ref="F556" r:id="rId232"/>
    <hyperlink ref="F559" r:id="rId233"/>
    <hyperlink ref="F561" r:id="rId234"/>
    <hyperlink ref="F563" r:id="rId235"/>
    <hyperlink ref="F565" r:id="rId236"/>
    <hyperlink ref="F568" r:id="rId237"/>
    <hyperlink ref="F570" r:id="rId238"/>
    <hyperlink ref="F572" r:id="rId239"/>
    <hyperlink ref="F574" r:id="rId240"/>
    <hyperlink ref="F580" r:id="rId241"/>
    <hyperlink ref="F582" r:id="rId242"/>
    <hyperlink ref="F584" r:id="rId243"/>
    <hyperlink ref="F586" r:id="rId244"/>
    <hyperlink ref="F589" r:id="rId245"/>
    <hyperlink ref="F591" r:id="rId246"/>
    <hyperlink ref="F593" r:id="rId247"/>
    <hyperlink ref="F595" r:id="rId248"/>
    <hyperlink ref="F598" r:id="rId249"/>
    <hyperlink ref="F600" r:id="rId250"/>
    <hyperlink ref="F602" r:id="rId251"/>
    <hyperlink ref="F604" r:id="rId252"/>
    <hyperlink ref="F607" r:id="rId253"/>
    <hyperlink ref="F609" r:id="rId254"/>
    <hyperlink ref="F611" r:id="rId255"/>
    <hyperlink ref="F613" r:id="rId256"/>
    <hyperlink ref="F616" r:id="rId257"/>
    <hyperlink ref="F618" r:id="rId258"/>
    <hyperlink ref="F620" r:id="rId259"/>
    <hyperlink ref="F622" r:id="rId260"/>
    <hyperlink ref="F625" r:id="rId261"/>
    <hyperlink ref="F627" r:id="rId262"/>
    <hyperlink ref="F629" r:id="rId263"/>
    <hyperlink ref="F631" r:id="rId264"/>
    <hyperlink ref="F637" r:id="rId265"/>
    <hyperlink ref="F639" r:id="rId266"/>
    <hyperlink ref="F641" r:id="rId267"/>
    <hyperlink ref="F643" r:id="rId268"/>
    <hyperlink ref="F646" r:id="rId269"/>
    <hyperlink ref="F648" r:id="rId270"/>
    <hyperlink ref="F650" r:id="rId271"/>
    <hyperlink ref="F652" r:id="rId272"/>
    <hyperlink ref="F655" r:id="rId273"/>
    <hyperlink ref="F657" r:id="rId274"/>
    <hyperlink ref="F659" r:id="rId275"/>
    <hyperlink ref="F661" r:id="rId276"/>
    <hyperlink ref="F664" r:id="rId277"/>
    <hyperlink ref="F666" r:id="rId278"/>
    <hyperlink ref="F668" r:id="rId279"/>
    <hyperlink ref="F670" r:id="rId280"/>
    <hyperlink ref="F673" r:id="rId281"/>
    <hyperlink ref="F675" r:id="rId282"/>
    <hyperlink ref="F677" r:id="rId283"/>
    <hyperlink ref="F679" r:id="rId284"/>
    <hyperlink ref="F682" r:id="rId285"/>
    <hyperlink ref="F684" r:id="rId286"/>
    <hyperlink ref="F686" r:id="rId287"/>
    <hyperlink ref="F688" r:id="rId288"/>
    <hyperlink ref="F694" r:id="rId289"/>
    <hyperlink ref="F696" r:id="rId290"/>
    <hyperlink ref="F698" r:id="rId291"/>
    <hyperlink ref="F700" r:id="rId292"/>
    <hyperlink ref="F703" r:id="rId293"/>
    <hyperlink ref="F705" r:id="rId294"/>
    <hyperlink ref="F707" r:id="rId295"/>
    <hyperlink ref="F709" r:id="rId296"/>
    <hyperlink ref="F712" r:id="rId297"/>
    <hyperlink ref="F714" r:id="rId298"/>
    <hyperlink ref="F716" r:id="rId299"/>
    <hyperlink ref="F718" r:id="rId300"/>
    <hyperlink ref="F721" r:id="rId301"/>
    <hyperlink ref="F723" r:id="rId302"/>
    <hyperlink ref="F725" r:id="rId303"/>
    <hyperlink ref="F727" r:id="rId304"/>
    <hyperlink ref="F730" r:id="rId305"/>
    <hyperlink ref="F732" r:id="rId306"/>
    <hyperlink ref="F734" r:id="rId307"/>
    <hyperlink ref="F736" r:id="rId308"/>
    <hyperlink ref="F739" r:id="rId309"/>
    <hyperlink ref="F741" r:id="rId310"/>
    <hyperlink ref="F743" r:id="rId311"/>
    <hyperlink ref="F745" r:id="rId312"/>
    <hyperlink ref="F751" r:id="rId313"/>
    <hyperlink ref="F753" r:id="rId314"/>
    <hyperlink ref="F755" r:id="rId315"/>
    <hyperlink ref="F757" r:id="rId316"/>
    <hyperlink ref="F760" r:id="rId317"/>
    <hyperlink ref="F762" r:id="rId318"/>
    <hyperlink ref="F764" r:id="rId319"/>
    <hyperlink ref="F766" r:id="rId320"/>
    <hyperlink ref="F769" r:id="rId321"/>
    <hyperlink ref="F771" r:id="rId322"/>
    <hyperlink ref="F773" r:id="rId323"/>
    <hyperlink ref="F775" r:id="rId324"/>
    <hyperlink ref="F778" r:id="rId325"/>
    <hyperlink ref="F780" r:id="rId326"/>
    <hyperlink ref="F782" r:id="rId327"/>
    <hyperlink ref="F784" r:id="rId328"/>
    <hyperlink ref="F787" r:id="rId329"/>
    <hyperlink ref="F789" r:id="rId330"/>
    <hyperlink ref="F791" r:id="rId331"/>
    <hyperlink ref="F793" r:id="rId332"/>
    <hyperlink ref="F796" r:id="rId333"/>
    <hyperlink ref="F798" r:id="rId334"/>
    <hyperlink ref="F800" r:id="rId335"/>
    <hyperlink ref="F802" r:id="rId336"/>
    <hyperlink ref="F808" r:id="rId337"/>
    <hyperlink ref="F810" r:id="rId338"/>
    <hyperlink ref="F812" r:id="rId339"/>
    <hyperlink ref="F814" r:id="rId340"/>
    <hyperlink ref="F817" r:id="rId341"/>
    <hyperlink ref="F819" r:id="rId342"/>
    <hyperlink ref="F821" r:id="rId343"/>
    <hyperlink ref="F823" r:id="rId344"/>
    <hyperlink ref="F826" r:id="rId345"/>
    <hyperlink ref="F828" r:id="rId346"/>
    <hyperlink ref="F830" r:id="rId347"/>
    <hyperlink ref="F832" r:id="rId348"/>
    <hyperlink ref="F835" r:id="rId349"/>
    <hyperlink ref="F837" r:id="rId350"/>
    <hyperlink ref="F839" r:id="rId351"/>
    <hyperlink ref="F841" r:id="rId352"/>
    <hyperlink ref="F844" r:id="rId353"/>
    <hyperlink ref="F846" r:id="rId354"/>
    <hyperlink ref="F848" r:id="rId355"/>
    <hyperlink ref="F850" r:id="rId356"/>
    <hyperlink ref="F853" r:id="rId357"/>
    <hyperlink ref="F855" r:id="rId358"/>
    <hyperlink ref="F857" r:id="rId359"/>
    <hyperlink ref="F859" r:id="rId360"/>
    <hyperlink ref="F865" r:id="rId361"/>
    <hyperlink ref="F867" r:id="rId362"/>
    <hyperlink ref="F869" r:id="rId363"/>
    <hyperlink ref="F871" r:id="rId364"/>
    <hyperlink ref="F874" r:id="rId365"/>
    <hyperlink ref="F876" r:id="rId366"/>
    <hyperlink ref="F878" r:id="rId367"/>
    <hyperlink ref="F880" r:id="rId368"/>
    <hyperlink ref="F883" r:id="rId369"/>
    <hyperlink ref="F885" r:id="rId370"/>
    <hyperlink ref="F887" r:id="rId371"/>
    <hyperlink ref="F889" r:id="rId372"/>
    <hyperlink ref="F892" r:id="rId373"/>
    <hyperlink ref="F894" r:id="rId374"/>
    <hyperlink ref="F896" r:id="rId375"/>
    <hyperlink ref="F898" r:id="rId376"/>
    <hyperlink ref="F901" r:id="rId377"/>
    <hyperlink ref="F903" r:id="rId378"/>
    <hyperlink ref="F905" r:id="rId379"/>
    <hyperlink ref="F907" r:id="rId380"/>
    <hyperlink ref="F910" r:id="rId381"/>
    <hyperlink ref="F912" r:id="rId382"/>
    <hyperlink ref="F914" r:id="rId383"/>
    <hyperlink ref="F916" r:id="rId384"/>
    <hyperlink ref="F922" r:id="rId385"/>
    <hyperlink ref="F924" r:id="rId386"/>
    <hyperlink ref="F926" r:id="rId387"/>
    <hyperlink ref="F928" r:id="rId388"/>
    <hyperlink ref="F931" r:id="rId389"/>
    <hyperlink ref="F933" r:id="rId390"/>
    <hyperlink ref="F935" r:id="rId391"/>
    <hyperlink ref="F937" r:id="rId392"/>
    <hyperlink ref="F940" r:id="rId393"/>
    <hyperlink ref="F942" r:id="rId394"/>
    <hyperlink ref="F949" r:id="rId395"/>
    <hyperlink ref="F951" r:id="rId396"/>
    <hyperlink ref="F953" r:id="rId397"/>
    <hyperlink ref="F955" r:id="rId398"/>
    <hyperlink ref="F958" r:id="rId399"/>
    <hyperlink ref="F960" r:id="rId400"/>
    <hyperlink ref="F962" r:id="rId401"/>
    <hyperlink ref="F964" r:id="rId402"/>
    <hyperlink ref="F967" r:id="rId403"/>
    <hyperlink ref="F969" r:id="rId404"/>
    <hyperlink ref="F971" r:id="rId405"/>
    <hyperlink ref="F973" r:id="rId406"/>
    <hyperlink ref="F979" r:id="rId407"/>
    <hyperlink ref="F981" r:id="rId408"/>
    <hyperlink ref="F983" r:id="rId409"/>
    <hyperlink ref="F985" r:id="rId410"/>
    <hyperlink ref="F988" r:id="rId411"/>
    <hyperlink ref="F990" r:id="rId412"/>
    <hyperlink ref="F992" r:id="rId413"/>
    <hyperlink ref="F994" r:id="rId414"/>
    <hyperlink ref="F997" r:id="rId415"/>
    <hyperlink ref="F999" r:id="rId416"/>
    <hyperlink ref="F1006" r:id="rId417"/>
    <hyperlink ref="F1008" r:id="rId418"/>
    <hyperlink ref="F1010" r:id="rId419"/>
    <hyperlink ref="F1012" r:id="rId420"/>
    <hyperlink ref="F1015" r:id="rId421"/>
    <hyperlink ref="F1017" r:id="rId422"/>
    <hyperlink ref="F1019" r:id="rId423"/>
    <hyperlink ref="F1021" r:id="rId424"/>
    <hyperlink ref="F1024" r:id="rId425"/>
    <hyperlink ref="F1026" r:id="rId426"/>
    <hyperlink ref="F1028" r:id="rId427"/>
    <hyperlink ref="F1030" r:id="rId428"/>
    <hyperlink ref="F1036" r:id="rId429"/>
    <hyperlink ref="F1038" r:id="rId430"/>
    <hyperlink ref="F1040" r:id="rId431"/>
    <hyperlink ref="F1042" r:id="rId432"/>
    <hyperlink ref="F1045" r:id="rId433"/>
    <hyperlink ref="F1047" r:id="rId434"/>
    <hyperlink ref="F1049" r:id="rId435"/>
    <hyperlink ref="F1051" r:id="rId436"/>
    <hyperlink ref="F1054" r:id="rId437"/>
    <hyperlink ref="F1056" r:id="rId438"/>
    <hyperlink ref="F1063" r:id="rId439"/>
    <hyperlink ref="F1065" r:id="rId440"/>
    <hyperlink ref="F1067" r:id="rId441"/>
    <hyperlink ref="F1069" r:id="rId442"/>
    <hyperlink ref="F1072" r:id="rId443"/>
    <hyperlink ref="F1074" r:id="rId444"/>
    <hyperlink ref="F1076" r:id="rId445"/>
    <hyperlink ref="F1078" r:id="rId446"/>
    <hyperlink ref="F1081" r:id="rId447"/>
    <hyperlink ref="F1083" r:id="rId448"/>
    <hyperlink ref="F1085" r:id="rId449"/>
    <hyperlink ref="F1087" r:id="rId450"/>
    <hyperlink ref="F1093" r:id="rId451"/>
    <hyperlink ref="F1095" r:id="rId452"/>
    <hyperlink ref="F1097" r:id="rId453"/>
    <hyperlink ref="F1099" r:id="rId454"/>
    <hyperlink ref="F1102" r:id="rId455"/>
    <hyperlink ref="F1104" r:id="rId456"/>
    <hyperlink ref="F1106" r:id="rId457"/>
    <hyperlink ref="F1108" r:id="rId458"/>
    <hyperlink ref="F1111" r:id="rId459"/>
    <hyperlink ref="F1113" r:id="rId460"/>
    <hyperlink ref="F1120" r:id="rId461"/>
    <hyperlink ref="F1122" r:id="rId462"/>
    <hyperlink ref="F1124" r:id="rId463"/>
    <hyperlink ref="F1126" r:id="rId464"/>
    <hyperlink ref="F1129" r:id="rId465"/>
    <hyperlink ref="F1131" r:id="rId466"/>
    <hyperlink ref="F1133" r:id="rId467"/>
    <hyperlink ref="F1135" r:id="rId468"/>
    <hyperlink ref="F1138" r:id="rId469"/>
    <hyperlink ref="F1140" r:id="rId470"/>
    <hyperlink ref="F1142" r:id="rId471"/>
    <hyperlink ref="F1144" r:id="rId472"/>
    <hyperlink ref="F1150" r:id="rId473"/>
    <hyperlink ref="F1152" r:id="rId474"/>
    <hyperlink ref="F1154" r:id="rId475"/>
    <hyperlink ref="F1156" r:id="rId476"/>
    <hyperlink ref="F1159" r:id="rId477"/>
    <hyperlink ref="F1161" r:id="rId478"/>
    <hyperlink ref="F1163" r:id="rId479"/>
    <hyperlink ref="F1165" r:id="rId480"/>
    <hyperlink ref="F1177" r:id="rId481"/>
    <hyperlink ref="F1179" r:id="rId482"/>
    <hyperlink ref="F1181" r:id="rId483"/>
    <hyperlink ref="F1183" r:id="rId484"/>
    <hyperlink ref="F1186" r:id="rId485"/>
    <hyperlink ref="F1188" r:id="rId486"/>
    <hyperlink ref="F1190" r:id="rId487"/>
    <hyperlink ref="F1192" r:id="rId488"/>
    <hyperlink ref="F1195" r:id="rId489"/>
    <hyperlink ref="F1197" r:id="rId490"/>
    <hyperlink ref="F1207" r:id="rId491"/>
    <hyperlink ref="F1209" r:id="rId492"/>
    <hyperlink ref="F1211" r:id="rId493"/>
    <hyperlink ref="F1213" r:id="rId494"/>
    <hyperlink ref="F1216" r:id="rId495"/>
    <hyperlink ref="F1218" r:id="rId496"/>
    <hyperlink ref="F1220" r:id="rId497"/>
    <hyperlink ref="F1222" r:id="rId498"/>
    <hyperlink ref="F1234" r:id="rId499"/>
    <hyperlink ref="F1236" r:id="rId500"/>
    <hyperlink ref="F1238" r:id="rId501"/>
    <hyperlink ref="F1240" r:id="rId502"/>
    <hyperlink ref="F1243" r:id="rId503"/>
    <hyperlink ref="F1245" r:id="rId504"/>
    <hyperlink ref="F1247" r:id="rId505"/>
    <hyperlink ref="F1249" r:id="rId506"/>
    <hyperlink ref="F1252" r:id="rId507"/>
    <hyperlink ref="F1254" r:id="rId508"/>
    <hyperlink ref="F1264" r:id="rId509"/>
    <hyperlink ref="F1266" r:id="rId510"/>
    <hyperlink ref="F1268" r:id="rId511"/>
    <hyperlink ref="F1270" r:id="rId512"/>
    <hyperlink ref="F1273" r:id="rId513"/>
    <hyperlink ref="F1275" r:id="rId514"/>
    <hyperlink ref="F1277" r:id="rId515"/>
    <hyperlink ref="F1279" r:id="rId516"/>
    <hyperlink ref="F1291" r:id="rId517"/>
    <hyperlink ref="F1293" r:id="rId518"/>
    <hyperlink ref="F1295" r:id="rId519"/>
    <hyperlink ref="F1297" r:id="rId520"/>
    <hyperlink ref="F1300" r:id="rId521"/>
    <hyperlink ref="F1302" r:id="rId522"/>
    <hyperlink ref="F1304" r:id="rId523"/>
    <hyperlink ref="F1306" r:id="rId524"/>
    <hyperlink ref="F1309" r:id="rId525"/>
    <hyperlink ref="F1311" r:id="rId526"/>
    <hyperlink ref="F1321" r:id="rId527"/>
    <hyperlink ref="F1323" r:id="rId528"/>
    <hyperlink ref="F1325" r:id="rId529"/>
    <hyperlink ref="F1327" r:id="rId530"/>
    <hyperlink ref="F1330" r:id="rId531"/>
    <hyperlink ref="F1332" r:id="rId532"/>
    <hyperlink ref="F1334" r:id="rId533"/>
    <hyperlink ref="F1336" r:id="rId534"/>
    <hyperlink ref="F1348" r:id="rId535"/>
    <hyperlink ref="F1350" r:id="rId536"/>
    <hyperlink ref="F1352" r:id="rId537"/>
    <hyperlink ref="F1354" r:id="rId538"/>
    <hyperlink ref="F1357" r:id="rId539"/>
    <hyperlink ref="F1359" r:id="rId540"/>
    <hyperlink ref="F1361" r:id="rId541"/>
    <hyperlink ref="F1363" r:id="rId542"/>
    <hyperlink ref="F1366" r:id="rId543"/>
    <hyperlink ref="F1368" r:id="rId544"/>
    <hyperlink ref="F1378" r:id="rId545"/>
    <hyperlink ref="F1380" r:id="rId546"/>
    <hyperlink ref="F1382" r:id="rId547"/>
    <hyperlink ref="F1384" r:id="rId548"/>
    <hyperlink ref="F1387" r:id="rId549"/>
    <hyperlink ref="F1389" r:id="rId550"/>
    <hyperlink ref="F1391" r:id="rId551"/>
    <hyperlink ref="F1393" r:id="rId552"/>
    <hyperlink ref="F1405" r:id="rId553"/>
    <hyperlink ref="F1407" r:id="rId554"/>
    <hyperlink ref="F1409" r:id="rId555"/>
    <hyperlink ref="F1411" r:id="rId556"/>
    <hyperlink ref="F1414" r:id="rId557"/>
    <hyperlink ref="F1416" r:id="rId558"/>
    <hyperlink ref="F1418" r:id="rId559"/>
    <hyperlink ref="F1420" r:id="rId560"/>
    <hyperlink ref="F1423" r:id="rId561"/>
    <hyperlink ref="F1425" r:id="rId562"/>
    <hyperlink ref="F1435" r:id="rId563"/>
    <hyperlink ref="F1437" r:id="rId564"/>
    <hyperlink ref="F1439" r:id="rId565"/>
    <hyperlink ref="F1441" r:id="rId566"/>
    <hyperlink ref="F1444" r:id="rId567"/>
    <hyperlink ref="F1446" r:id="rId568"/>
    <hyperlink ref="F1448" r:id="rId569"/>
    <hyperlink ref="F1450" r:id="rId570"/>
    <hyperlink ref="F1462" r:id="rId571"/>
    <hyperlink ref="F1464" r:id="rId572"/>
    <hyperlink ref="F1466" r:id="rId573"/>
    <hyperlink ref="F1468" r:id="rId574"/>
    <hyperlink ref="F1471" r:id="rId575"/>
    <hyperlink ref="F1473" r:id="rId576"/>
    <hyperlink ref="F1475" r:id="rId577"/>
    <hyperlink ref="F1477" r:id="rId578"/>
    <hyperlink ref="F1480" r:id="rId579"/>
    <hyperlink ref="F1482" r:id="rId580"/>
    <hyperlink ref="F1492" r:id="rId581"/>
    <hyperlink ref="F1494" r:id="rId582"/>
    <hyperlink ref="F1496" r:id="rId583"/>
    <hyperlink ref="F1498" r:id="rId584"/>
    <hyperlink ref="F1501" r:id="rId585"/>
    <hyperlink ref="F1503" r:id="rId586"/>
    <hyperlink ref="F1505" r:id="rId587"/>
    <hyperlink ref="F1507" r:id="rId588"/>
    <hyperlink ref="F1519" r:id="rId589"/>
    <hyperlink ref="F1521" r:id="rId590"/>
    <hyperlink ref="F1523" r:id="rId591"/>
    <hyperlink ref="F1525" r:id="rId592"/>
    <hyperlink ref="F1528" r:id="rId593"/>
    <hyperlink ref="F1530" r:id="rId594"/>
    <hyperlink ref="F1532" r:id="rId595"/>
    <hyperlink ref="F1534" r:id="rId596"/>
    <hyperlink ref="F1537" r:id="rId597"/>
    <hyperlink ref="F1539" r:id="rId598"/>
    <hyperlink ref="F1549" r:id="rId599"/>
    <hyperlink ref="F1551" r:id="rId600"/>
    <hyperlink ref="F1553" r:id="rId601"/>
    <hyperlink ref="F1555" r:id="rId602"/>
    <hyperlink ref="F1558" r:id="rId603"/>
    <hyperlink ref="F1560" r:id="rId604"/>
    <hyperlink ref="F1562" r:id="rId605"/>
    <hyperlink ref="F1564" r:id="rId606"/>
    <hyperlink ref="F1576" r:id="rId607"/>
    <hyperlink ref="F1578" r:id="rId608"/>
    <hyperlink ref="F1580" r:id="rId609"/>
    <hyperlink ref="F1582" r:id="rId610"/>
    <hyperlink ref="F1585" r:id="rId611"/>
    <hyperlink ref="F1587" r:id="rId612"/>
    <hyperlink ref="F1589" r:id="rId613"/>
    <hyperlink ref="F1591" r:id="rId614"/>
    <hyperlink ref="F1594" r:id="rId615"/>
    <hyperlink ref="F1596" r:id="rId616"/>
    <hyperlink ref="F1606" r:id="rId617"/>
    <hyperlink ref="F1608" r:id="rId618"/>
    <hyperlink ref="F1610" r:id="rId619"/>
    <hyperlink ref="F1612" r:id="rId620"/>
    <hyperlink ref="F1615" r:id="rId621"/>
    <hyperlink ref="F1617" r:id="rId622"/>
    <hyperlink ref="F1619" r:id="rId623"/>
    <hyperlink ref="F1621" r:id="rId624"/>
    <hyperlink ref="F1633" r:id="rId625"/>
    <hyperlink ref="F1635" r:id="rId626"/>
    <hyperlink ref="F1637" r:id="rId627"/>
    <hyperlink ref="F1639" r:id="rId628"/>
    <hyperlink ref="F1642" r:id="rId629"/>
    <hyperlink ref="F1644" r:id="rId630"/>
    <hyperlink ref="F1646" r:id="rId631"/>
    <hyperlink ref="F1648" r:id="rId632"/>
    <hyperlink ref="F1651" r:id="rId633"/>
    <hyperlink ref="F1653" r:id="rId634"/>
    <hyperlink ref="F1663" r:id="rId635"/>
    <hyperlink ref="F1665" r:id="rId636"/>
    <hyperlink ref="F1667" r:id="rId637"/>
    <hyperlink ref="F1669" r:id="rId638"/>
    <hyperlink ref="F1672" r:id="rId639"/>
    <hyperlink ref="F1674" r:id="rId640"/>
    <hyperlink ref="F1676" r:id="rId641"/>
    <hyperlink ref="F1678" r:id="rId642"/>
    <hyperlink ref="F1694" r:id="rId643"/>
    <hyperlink ref="F1696" r:id="rId644"/>
    <hyperlink ref="F1699" r:id="rId645"/>
    <hyperlink ref="F1701" r:id="rId646"/>
    <hyperlink ref="F1703" r:id="rId647"/>
    <hyperlink ref="F1705" r:id="rId648"/>
    <hyperlink ref="F1708" r:id="rId649"/>
    <hyperlink ref="F1710" r:id="rId650"/>
    <hyperlink ref="F1720" r:id="rId651"/>
    <hyperlink ref="F1722" r:id="rId652"/>
    <hyperlink ref="F1733" r:id="rId653"/>
    <hyperlink ref="F1735" r:id="rId654"/>
    <hyperlink ref="F1751" r:id="rId655"/>
    <hyperlink ref="F1753" r:id="rId656"/>
    <hyperlink ref="F1756" r:id="rId657"/>
    <hyperlink ref="F1758" r:id="rId658"/>
    <hyperlink ref="F1760" r:id="rId659"/>
    <hyperlink ref="F1762" r:id="rId660"/>
    <hyperlink ref="F1765" r:id="rId661"/>
    <hyperlink ref="F1767" r:id="rId662"/>
    <hyperlink ref="F1777" r:id="rId663"/>
    <hyperlink ref="F1779" r:id="rId664"/>
    <hyperlink ref="F1790" r:id="rId665"/>
    <hyperlink ref="F1792" r:id="rId666"/>
    <hyperlink ref="F1808" r:id="rId667"/>
    <hyperlink ref="F1810" r:id="rId668"/>
    <hyperlink ref="F1813" r:id="rId669"/>
    <hyperlink ref="F1815" r:id="rId670"/>
    <hyperlink ref="F1817" r:id="rId671"/>
    <hyperlink ref="F1819" r:id="rId672"/>
    <hyperlink ref="F1822" r:id="rId673"/>
    <hyperlink ref="F1824" r:id="rId674"/>
    <hyperlink ref="F1834" r:id="rId675"/>
    <hyperlink ref="F1836" r:id="rId676"/>
    <hyperlink ref="F1847" r:id="rId677"/>
    <hyperlink ref="F1849" r:id="rId678"/>
    <hyperlink ref="F1865" r:id="rId679"/>
    <hyperlink ref="F1867" r:id="rId680"/>
    <hyperlink ref="F1870" r:id="rId681"/>
    <hyperlink ref="F1872" r:id="rId682"/>
    <hyperlink ref="F1874" r:id="rId683"/>
    <hyperlink ref="F1876" r:id="rId684"/>
    <hyperlink ref="F1879" r:id="rId685"/>
    <hyperlink ref="F1881" r:id="rId686"/>
    <hyperlink ref="F1891" r:id="rId687"/>
    <hyperlink ref="F1893" r:id="rId688"/>
    <hyperlink ref="F1904" r:id="rId689"/>
    <hyperlink ref="F1906" r:id="rId690"/>
    <hyperlink ref="F1922" r:id="rId691"/>
    <hyperlink ref="F1924" r:id="rId692"/>
    <hyperlink ref="F1927" r:id="rId693"/>
    <hyperlink ref="F1929" r:id="rId694"/>
    <hyperlink ref="F1931" r:id="rId695"/>
    <hyperlink ref="F1933" r:id="rId696"/>
    <hyperlink ref="F1936" r:id="rId697"/>
    <hyperlink ref="F1938" r:id="rId698"/>
    <hyperlink ref="F1948" r:id="rId699"/>
    <hyperlink ref="F1950" r:id="rId700"/>
    <hyperlink ref="F1961" r:id="rId701"/>
    <hyperlink ref="F1963" r:id="rId702"/>
    <hyperlink ref="F1979" r:id="rId703"/>
    <hyperlink ref="F1981" r:id="rId704"/>
    <hyperlink ref="F1984" r:id="rId705"/>
    <hyperlink ref="F1986" r:id="rId706"/>
    <hyperlink ref="F1988" r:id="rId707"/>
    <hyperlink ref="F1990" r:id="rId708"/>
    <hyperlink ref="F1993" r:id="rId709"/>
    <hyperlink ref="F1995" r:id="rId710"/>
    <hyperlink ref="F2005" r:id="rId711"/>
    <hyperlink ref="F2018" r:id="rId712"/>
    <hyperlink ref="F2020" r:id="rId713"/>
    <hyperlink ref="F2036" r:id="rId714"/>
    <hyperlink ref="F2038" r:id="rId715"/>
    <hyperlink ref="F2041" r:id="rId716"/>
    <hyperlink ref="F2043" r:id="rId717"/>
    <hyperlink ref="F2045" r:id="rId718"/>
    <hyperlink ref="F2047" r:id="rId719"/>
    <hyperlink ref="F2050" r:id="rId720"/>
    <hyperlink ref="F2052" r:id="rId721"/>
    <hyperlink ref="F2075" r:id="rId722"/>
    <hyperlink ref="F2077" r:id="rId723"/>
    <hyperlink ref="F2093" r:id="rId724"/>
    <hyperlink ref="F2095" r:id="rId725"/>
    <hyperlink ref="F2098" r:id="rId726"/>
    <hyperlink ref="F2100" r:id="rId727"/>
    <hyperlink ref="F2102" r:id="rId728"/>
    <hyperlink ref="F2104" r:id="rId729"/>
    <hyperlink ref="F2107" r:id="rId730"/>
    <hyperlink ref="F2109" r:id="rId731"/>
    <hyperlink ref="F2132" r:id="rId732"/>
    <hyperlink ref="F2134" r:id="rId733"/>
    <hyperlink ref="F2150" r:id="rId734"/>
    <hyperlink ref="F2152" r:id="rId735"/>
    <hyperlink ref="F2155" r:id="rId736"/>
    <hyperlink ref="F2157" r:id="rId737"/>
    <hyperlink ref="F2159" r:id="rId738"/>
    <hyperlink ref="F2161" r:id="rId739"/>
    <hyperlink ref="F2164" r:id="rId740"/>
    <hyperlink ref="F2166" r:id="rId741"/>
    <hyperlink ref="F2189" r:id="rId742"/>
    <hyperlink ref="F2191" r:id="rId743"/>
    <hyperlink ref="F2207" r:id="rId744"/>
    <hyperlink ref="F2209" r:id="rId745"/>
    <hyperlink ref="F2216" r:id="rId746"/>
    <hyperlink ref="F2218" r:id="rId747"/>
    <hyperlink ref="F2221" r:id="rId748"/>
    <hyperlink ref="F2223" r:id="rId749"/>
    <hyperlink ref="F2246" r:id="rId750"/>
    <hyperlink ref="F2248" r:id="rId751"/>
    <hyperlink ref="F2264" r:id="rId752"/>
    <hyperlink ref="F2273" r:id="rId753"/>
    <hyperlink ref="F2275" r:id="rId754"/>
    <hyperlink ref="F2278" r:id="rId755"/>
    <hyperlink ref="F2280" r:id="rId756"/>
    <hyperlink ref="F2303" r:id="rId757"/>
    <hyperlink ref="F2305" r:id="rId758"/>
    <hyperlink ref="F2330" r:id="rId759"/>
    <hyperlink ref="F2332" r:id="rId760"/>
    <hyperlink ref="F2335" r:id="rId761"/>
    <hyperlink ref="F2337" r:id="rId762"/>
    <hyperlink ref="F2360" r:id="rId763"/>
    <hyperlink ref="F2362" r:id="rId764"/>
    <hyperlink ref="F2387" r:id="rId765"/>
    <hyperlink ref="F2389" r:id="rId7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G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50" customWidth="1"/>
    <col min="4" max="5" width="14" customWidth="1"/>
    <col min="6" max="6" width="16" customWidth="1"/>
    <col min="7" max="7" width="18" customWidth="1"/>
  </cols>
  <sheetData>
    <row r="1" ht="36" customHeight="1" spans="1:7" x14ac:dyDescent="0.25">
      <c r="A1" s="1" t="s">
        <v>866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867</v>
      </c>
      <c r="B2" s="2"/>
      <c r="C2" s="2"/>
      <c r="D2" s="2"/>
      <c r="E2" s="2"/>
      <c r="F2" s="2"/>
      <c r="G2" s="2"/>
    </row>
    <row r="3" ht="8" customHeight="1" x14ac:dyDescent="0.25"/>
    <row r="4" ht="26" customHeight="1" spans="1:7" x14ac:dyDescent="0.25">
      <c r="A4" s="11" t="s">
        <v>868</v>
      </c>
      <c r="B4" s="12" t="s">
        <v>869</v>
      </c>
      <c r="C4" s="12" t="s">
        <v>870</v>
      </c>
      <c r="D4" s="13" t="s">
        <v>13</v>
      </c>
      <c r="E4" s="13" t="s">
        <v>871</v>
      </c>
      <c r="F4" s="11" t="s">
        <v>14</v>
      </c>
      <c r="G4" s="11" t="s">
        <v>15</v>
      </c>
    </row>
    <row r="5" ht="22" customHeight="1" spans="1:7" x14ac:dyDescent="0.25">
      <c r="A5" s="15" t="s">
        <v>872</v>
      </c>
      <c r="B5" s="15"/>
      <c r="C5" s="15"/>
      <c r="D5" s="15"/>
      <c r="E5" s="15"/>
      <c r="F5" s="15"/>
      <c r="G5" s="15"/>
    </row>
    <row r="6" ht="22" customHeight="1" spans="1:7" x14ac:dyDescent="0.25">
      <c r="A6" s="16" t="s">
        <v>18</v>
      </c>
      <c r="B6" s="17" t="s">
        <v>23</v>
      </c>
      <c r="C6" s="17" t="s">
        <v>23</v>
      </c>
      <c r="D6" s="18" t="str">
        <f>IFERROR(VLOOKUP(C6, 'Veri Bankası'!$C:$D, 2, FALSE), "")</f>
        <v/>
      </c>
      <c r="E6" s="27" t="s">
        <v>23</v>
      </c>
      <c r="F6" s="28" t="str">
        <f>IFERROR(HYPERLINK(VLOOKUP(C6, 'Veri Bankası'!$C:$G, 5, FALSE), "İzle"), "")</f>
        <v/>
      </c>
      <c r="G6" s="16" t="s">
        <v>23</v>
      </c>
    </row>
    <row r="7" ht="20" customHeight="1" spans="1:7" x14ac:dyDescent="0.25">
      <c r="A7" s="20" t="s">
        <v>24</v>
      </c>
      <c r="B7" s="21" t="s">
        <v>873</v>
      </c>
      <c r="C7" s="21" t="s">
        <v>874</v>
      </c>
      <c r="D7" s="21" t="s">
        <v>23</v>
      </c>
      <c r="E7" s="22">
        <v>20</v>
      </c>
      <c r="F7" s="20" t="s">
        <v>27</v>
      </c>
      <c r="G7" s="20" t="s">
        <v>27</v>
      </c>
    </row>
    <row r="8" ht="22" customHeight="1" spans="1:7" x14ac:dyDescent="0.25">
      <c r="A8" s="16" t="s">
        <v>28</v>
      </c>
      <c r="B8" s="17" t="s">
        <v>23</v>
      </c>
      <c r="C8" s="17" t="s">
        <v>23</v>
      </c>
      <c r="D8" s="18" t="str">
        <f>IFERROR(VLOOKUP(C8, 'Veri Bankası'!$C:$D, 2, FALSE), "")</f>
        <v/>
      </c>
      <c r="E8" s="27" t="s">
        <v>23</v>
      </c>
      <c r="F8" s="28" t="str">
        <f>IFERROR(HYPERLINK(VLOOKUP(C8, 'Veri Bankası'!$C:$G, 5, FALSE), "İzle"), "")</f>
        <v/>
      </c>
      <c r="G8" s="16" t="s">
        <v>23</v>
      </c>
    </row>
    <row r="9" ht="20" customHeight="1" spans="1:7" x14ac:dyDescent="0.25">
      <c r="A9" s="20" t="s">
        <v>30</v>
      </c>
      <c r="B9" s="21" t="s">
        <v>873</v>
      </c>
      <c r="C9" s="21" t="s">
        <v>874</v>
      </c>
      <c r="D9" s="21" t="s">
        <v>23</v>
      </c>
      <c r="E9" s="22">
        <v>20</v>
      </c>
      <c r="F9" s="20" t="s">
        <v>27</v>
      </c>
      <c r="G9" s="20" t="s">
        <v>27</v>
      </c>
    </row>
    <row r="10" ht="22" customHeight="1" spans="1:7" x14ac:dyDescent="0.25">
      <c r="A10" s="16" t="s">
        <v>31</v>
      </c>
      <c r="B10" s="17" t="s">
        <v>23</v>
      </c>
      <c r="C10" s="17" t="s">
        <v>23</v>
      </c>
      <c r="D10" s="18" t="str">
        <f>IFERROR(VLOOKUP(C10, 'Veri Bankası'!$C:$D, 2, FALSE), "")</f>
        <v/>
      </c>
      <c r="E10" s="27" t="s">
        <v>23</v>
      </c>
      <c r="F10" s="28" t="str">
        <f>IFERROR(HYPERLINK(VLOOKUP(C10, 'Veri Bankası'!$C:$G, 5, FALSE), "İzle"), "")</f>
        <v/>
      </c>
      <c r="G10" s="16" t="s">
        <v>23</v>
      </c>
    </row>
    <row r="11" ht="20" customHeight="1" spans="1:7" x14ac:dyDescent="0.25">
      <c r="A11" s="20" t="s">
        <v>35</v>
      </c>
      <c r="B11" s="21" t="s">
        <v>873</v>
      </c>
      <c r="C11" s="21" t="s">
        <v>874</v>
      </c>
      <c r="D11" s="21" t="s">
        <v>23</v>
      </c>
      <c r="E11" s="22">
        <v>20</v>
      </c>
      <c r="F11" s="20" t="s">
        <v>27</v>
      </c>
      <c r="G11" s="20" t="s">
        <v>27</v>
      </c>
    </row>
    <row r="12" ht="22" customHeight="1" spans="1:7" x14ac:dyDescent="0.25">
      <c r="A12" s="16" t="s">
        <v>36</v>
      </c>
      <c r="B12" s="17" t="s">
        <v>23</v>
      </c>
      <c r="C12" s="17" t="s">
        <v>23</v>
      </c>
      <c r="D12" s="18" t="str">
        <f>IFERROR(VLOOKUP(C12, 'Veri Bankası'!$C:$D, 2, FALSE), "")</f>
        <v/>
      </c>
      <c r="E12" s="27" t="s">
        <v>23</v>
      </c>
      <c r="F12" s="28" t="str">
        <f>IFERROR(HYPERLINK(VLOOKUP(C12, 'Veri Bankası'!$C:$G, 5, FALSE), "İzle"), "")</f>
        <v/>
      </c>
      <c r="G12" s="16" t="s">
        <v>23</v>
      </c>
    </row>
    <row r="13" ht="24" customHeight="1" spans="1:7" x14ac:dyDescent="0.25">
      <c r="A13" s="23" t="s">
        <v>38</v>
      </c>
      <c r="B13" s="23" t="s">
        <v>39</v>
      </c>
      <c r="C13" s="24" t="s">
        <v>875</v>
      </c>
      <c r="D13" s="25">
        <f>IFERROR(SUM(D6,D8,D10,D12), 0)</f>
        <v>0</v>
      </c>
      <c r="E13" s="25">
        <f>SUM(E7,E9,E11)</f>
        <v>60</v>
      </c>
      <c r="F13" s="23" t="str">
        <f>IF(D13&gt;0, "~" &amp; ROUND(D13/60, 1) &amp; " Saat", "-")</f>
        <v>-</v>
      </c>
      <c r="G13" s="23" t="str">
        <f>COUNTIF(G6:G12, "X") &amp; "/4"</f>
        <v>0/4</v>
      </c>
    </row>
    <row r="14" ht="22" customHeight="1" spans="1:7" x14ac:dyDescent="0.25">
      <c r="A14" s="15" t="s">
        <v>876</v>
      </c>
      <c r="B14" s="15"/>
      <c r="C14" s="15"/>
      <c r="D14" s="15"/>
      <c r="E14" s="15"/>
      <c r="F14" s="15"/>
      <c r="G14" s="15"/>
    </row>
    <row r="15" ht="22" customHeight="1" spans="1:7" x14ac:dyDescent="0.25">
      <c r="A15" s="16" t="s">
        <v>18</v>
      </c>
      <c r="B15" s="17" t="s">
        <v>23</v>
      </c>
      <c r="C15" s="17" t="s">
        <v>23</v>
      </c>
      <c r="D15" s="18" t="str">
        <f>IFERROR(VLOOKUP(C15, 'Veri Bankası'!$C:$D, 2, FALSE), "")</f>
        <v/>
      </c>
      <c r="E15" s="27" t="s">
        <v>23</v>
      </c>
      <c r="F15" s="28" t="str">
        <f>IFERROR(HYPERLINK(VLOOKUP(C15, 'Veri Bankası'!$C:$G, 5, FALSE), "İzle"), "")</f>
        <v/>
      </c>
      <c r="G15" s="16" t="s">
        <v>23</v>
      </c>
    </row>
    <row r="16" ht="20" customHeight="1" spans="1:7" x14ac:dyDescent="0.25">
      <c r="A16" s="20" t="s">
        <v>24</v>
      </c>
      <c r="B16" s="21" t="s">
        <v>873</v>
      </c>
      <c r="C16" s="21" t="s">
        <v>874</v>
      </c>
      <c r="D16" s="21" t="s">
        <v>23</v>
      </c>
      <c r="E16" s="22">
        <v>20</v>
      </c>
      <c r="F16" s="20" t="s">
        <v>27</v>
      </c>
      <c r="G16" s="20" t="s">
        <v>27</v>
      </c>
    </row>
    <row r="17" ht="22" customHeight="1" spans="1:7" x14ac:dyDescent="0.25">
      <c r="A17" s="16" t="s">
        <v>28</v>
      </c>
      <c r="B17" s="17" t="s">
        <v>23</v>
      </c>
      <c r="C17" s="17" t="s">
        <v>23</v>
      </c>
      <c r="D17" s="18" t="str">
        <f>IFERROR(VLOOKUP(C17, 'Veri Bankası'!$C:$D, 2, FALSE), "")</f>
        <v/>
      </c>
      <c r="E17" s="27" t="s">
        <v>23</v>
      </c>
      <c r="F17" s="28" t="str">
        <f>IFERROR(HYPERLINK(VLOOKUP(C17, 'Veri Bankası'!$C:$G, 5, FALSE), "İzle"), "")</f>
        <v/>
      </c>
      <c r="G17" s="16" t="s">
        <v>23</v>
      </c>
    </row>
    <row r="18" ht="20" customHeight="1" spans="1:7" x14ac:dyDescent="0.25">
      <c r="A18" s="20" t="s">
        <v>30</v>
      </c>
      <c r="B18" s="21" t="s">
        <v>873</v>
      </c>
      <c r="C18" s="21" t="s">
        <v>874</v>
      </c>
      <c r="D18" s="21" t="s">
        <v>23</v>
      </c>
      <c r="E18" s="22">
        <v>20</v>
      </c>
      <c r="F18" s="20" t="s">
        <v>27</v>
      </c>
      <c r="G18" s="20" t="s">
        <v>27</v>
      </c>
    </row>
    <row r="19" ht="22" customHeight="1" spans="1:7" x14ac:dyDescent="0.25">
      <c r="A19" s="16" t="s">
        <v>31</v>
      </c>
      <c r="B19" s="17" t="s">
        <v>23</v>
      </c>
      <c r="C19" s="17" t="s">
        <v>23</v>
      </c>
      <c r="D19" s="18" t="str">
        <f>IFERROR(VLOOKUP(C19, 'Veri Bankası'!$C:$D, 2, FALSE), "")</f>
        <v/>
      </c>
      <c r="E19" s="27" t="s">
        <v>23</v>
      </c>
      <c r="F19" s="28" t="str">
        <f>IFERROR(HYPERLINK(VLOOKUP(C19, 'Veri Bankası'!$C:$G, 5, FALSE), "İzle"), "")</f>
        <v/>
      </c>
      <c r="G19" s="16" t="s">
        <v>23</v>
      </c>
    </row>
    <row r="20" ht="20" customHeight="1" spans="1:7" x14ac:dyDescent="0.25">
      <c r="A20" s="20" t="s">
        <v>35</v>
      </c>
      <c r="B20" s="21" t="s">
        <v>873</v>
      </c>
      <c r="C20" s="21" t="s">
        <v>874</v>
      </c>
      <c r="D20" s="21" t="s">
        <v>23</v>
      </c>
      <c r="E20" s="22">
        <v>20</v>
      </c>
      <c r="F20" s="20" t="s">
        <v>27</v>
      </c>
      <c r="G20" s="20" t="s">
        <v>27</v>
      </c>
    </row>
    <row r="21" ht="22" customHeight="1" spans="1:7" x14ac:dyDescent="0.25">
      <c r="A21" s="16" t="s">
        <v>36</v>
      </c>
      <c r="B21" s="17" t="s">
        <v>23</v>
      </c>
      <c r="C21" s="17" t="s">
        <v>23</v>
      </c>
      <c r="D21" s="18" t="str">
        <f>IFERROR(VLOOKUP(C21, 'Veri Bankası'!$C:$D, 2, FALSE), "")</f>
        <v/>
      </c>
      <c r="E21" s="27" t="s">
        <v>23</v>
      </c>
      <c r="F21" s="28" t="str">
        <f>IFERROR(HYPERLINK(VLOOKUP(C21, 'Veri Bankası'!$C:$G, 5, FALSE), "İzle"), "")</f>
        <v/>
      </c>
      <c r="G21" s="16" t="s">
        <v>23</v>
      </c>
    </row>
    <row r="22" ht="24" customHeight="1" spans="1:7" x14ac:dyDescent="0.25">
      <c r="A22" s="23" t="s">
        <v>38</v>
      </c>
      <c r="B22" s="23" t="s">
        <v>39</v>
      </c>
      <c r="C22" s="24" t="s">
        <v>875</v>
      </c>
      <c r="D22" s="25">
        <f>IFERROR(SUM(D15,D17,D19,D21), 0)</f>
        <v>0</v>
      </c>
      <c r="E22" s="25">
        <f>SUM(E16,E18,E20)</f>
        <v>60</v>
      </c>
      <c r="F22" s="23" t="str">
        <f>IF(D22&gt;0, "~" &amp; ROUND(D22/60, 1) &amp; " Saat", "-")</f>
        <v>-</v>
      </c>
      <c r="G22" s="23" t="str">
        <f>COUNTIF(G15:G21, "X") &amp; "/4"</f>
        <v>0/4</v>
      </c>
    </row>
    <row r="23" ht="22" customHeight="1" spans="1:7" x14ac:dyDescent="0.25">
      <c r="A23" s="15" t="s">
        <v>877</v>
      </c>
      <c r="B23" s="15"/>
      <c r="C23" s="15"/>
      <c r="D23" s="15"/>
      <c r="E23" s="15"/>
      <c r="F23" s="15"/>
      <c r="G23" s="15"/>
    </row>
    <row r="24" ht="22" customHeight="1" spans="1:7" x14ac:dyDescent="0.25">
      <c r="A24" s="16" t="s">
        <v>18</v>
      </c>
      <c r="B24" s="17" t="s">
        <v>23</v>
      </c>
      <c r="C24" s="17" t="s">
        <v>23</v>
      </c>
      <c r="D24" s="18" t="str">
        <f>IFERROR(VLOOKUP(C24, 'Veri Bankası'!$C:$D, 2, FALSE), "")</f>
        <v/>
      </c>
      <c r="E24" s="27" t="s">
        <v>23</v>
      </c>
      <c r="F24" s="28" t="str">
        <f>IFERROR(HYPERLINK(VLOOKUP(C24, 'Veri Bankası'!$C:$G, 5, FALSE), "İzle"), "")</f>
        <v/>
      </c>
      <c r="G24" s="16" t="s">
        <v>23</v>
      </c>
    </row>
    <row r="25" ht="20" customHeight="1" spans="1:7" x14ac:dyDescent="0.25">
      <c r="A25" s="20" t="s">
        <v>24</v>
      </c>
      <c r="B25" s="21" t="s">
        <v>873</v>
      </c>
      <c r="C25" s="21" t="s">
        <v>874</v>
      </c>
      <c r="D25" s="21" t="s">
        <v>23</v>
      </c>
      <c r="E25" s="22">
        <v>20</v>
      </c>
      <c r="F25" s="20" t="s">
        <v>27</v>
      </c>
      <c r="G25" s="20" t="s">
        <v>27</v>
      </c>
    </row>
    <row r="26" ht="22" customHeight="1" spans="1:7" x14ac:dyDescent="0.25">
      <c r="A26" s="16" t="s">
        <v>28</v>
      </c>
      <c r="B26" s="17" t="s">
        <v>23</v>
      </c>
      <c r="C26" s="17" t="s">
        <v>23</v>
      </c>
      <c r="D26" s="18" t="str">
        <f>IFERROR(VLOOKUP(C26, 'Veri Bankası'!$C:$D, 2, FALSE), "")</f>
        <v/>
      </c>
      <c r="E26" s="27" t="s">
        <v>23</v>
      </c>
      <c r="F26" s="28" t="str">
        <f>IFERROR(HYPERLINK(VLOOKUP(C26, 'Veri Bankası'!$C:$G, 5, FALSE), "İzle"), "")</f>
        <v/>
      </c>
      <c r="G26" s="16" t="s">
        <v>23</v>
      </c>
    </row>
    <row r="27" ht="20" customHeight="1" spans="1:7" x14ac:dyDescent="0.25">
      <c r="A27" s="20" t="s">
        <v>30</v>
      </c>
      <c r="B27" s="21" t="s">
        <v>873</v>
      </c>
      <c r="C27" s="21" t="s">
        <v>874</v>
      </c>
      <c r="D27" s="21" t="s">
        <v>23</v>
      </c>
      <c r="E27" s="22">
        <v>20</v>
      </c>
      <c r="F27" s="20" t="s">
        <v>27</v>
      </c>
      <c r="G27" s="20" t="s">
        <v>27</v>
      </c>
    </row>
    <row r="28" ht="22" customHeight="1" spans="1:7" x14ac:dyDescent="0.25">
      <c r="A28" s="16" t="s">
        <v>31</v>
      </c>
      <c r="B28" s="17" t="s">
        <v>23</v>
      </c>
      <c r="C28" s="17" t="s">
        <v>23</v>
      </c>
      <c r="D28" s="18" t="str">
        <f>IFERROR(VLOOKUP(C28, 'Veri Bankası'!$C:$D, 2, FALSE), "")</f>
        <v/>
      </c>
      <c r="E28" s="27" t="s">
        <v>23</v>
      </c>
      <c r="F28" s="28" t="str">
        <f>IFERROR(HYPERLINK(VLOOKUP(C28, 'Veri Bankası'!$C:$G, 5, FALSE), "İzle"), "")</f>
        <v/>
      </c>
      <c r="G28" s="16" t="s">
        <v>23</v>
      </c>
    </row>
    <row r="29" ht="20" customHeight="1" spans="1:7" x14ac:dyDescent="0.25">
      <c r="A29" s="20" t="s">
        <v>35</v>
      </c>
      <c r="B29" s="21" t="s">
        <v>873</v>
      </c>
      <c r="C29" s="21" t="s">
        <v>874</v>
      </c>
      <c r="D29" s="21" t="s">
        <v>23</v>
      </c>
      <c r="E29" s="22">
        <v>20</v>
      </c>
      <c r="F29" s="20" t="s">
        <v>27</v>
      </c>
      <c r="G29" s="20" t="s">
        <v>27</v>
      </c>
    </row>
    <row r="30" ht="22" customHeight="1" spans="1:7" x14ac:dyDescent="0.25">
      <c r="A30" s="16" t="s">
        <v>36</v>
      </c>
      <c r="B30" s="17" t="s">
        <v>23</v>
      </c>
      <c r="C30" s="17" t="s">
        <v>23</v>
      </c>
      <c r="D30" s="18" t="str">
        <f>IFERROR(VLOOKUP(C30, 'Veri Bankası'!$C:$D, 2, FALSE), "")</f>
        <v/>
      </c>
      <c r="E30" s="27" t="s">
        <v>23</v>
      </c>
      <c r="F30" s="28" t="str">
        <f>IFERROR(HYPERLINK(VLOOKUP(C30, 'Veri Bankası'!$C:$G, 5, FALSE), "İzle"), "")</f>
        <v/>
      </c>
      <c r="G30" s="16" t="s">
        <v>23</v>
      </c>
    </row>
    <row r="31" ht="24" customHeight="1" spans="1:7" x14ac:dyDescent="0.25">
      <c r="A31" s="23" t="s">
        <v>38</v>
      </c>
      <c r="B31" s="23" t="s">
        <v>39</v>
      </c>
      <c r="C31" s="24" t="s">
        <v>875</v>
      </c>
      <c r="D31" s="25">
        <f>IFERROR(SUM(D24,D26,D28,D30), 0)</f>
        <v>0</v>
      </c>
      <c r="E31" s="25">
        <f>SUM(E25,E27,E29)</f>
        <v>60</v>
      </c>
      <c r="F31" s="23" t="str">
        <f>IF(D31&gt;0, "~" &amp; ROUND(D31/60, 1) &amp; " Saat", "-")</f>
        <v>-</v>
      </c>
      <c r="G31" s="23" t="str">
        <f>COUNTIF(G24:G30, "X") &amp; "/4"</f>
        <v>0/4</v>
      </c>
    </row>
    <row r="32" ht="22" customHeight="1" spans="1:7" x14ac:dyDescent="0.25">
      <c r="A32" s="15" t="s">
        <v>878</v>
      </c>
      <c r="B32" s="15"/>
      <c r="C32" s="15"/>
      <c r="D32" s="15"/>
      <c r="E32" s="15"/>
      <c r="F32" s="15"/>
      <c r="G32" s="15"/>
    </row>
    <row r="33" ht="22" customHeight="1" spans="1:7" x14ac:dyDescent="0.25">
      <c r="A33" s="16" t="s">
        <v>18</v>
      </c>
      <c r="B33" s="17" t="s">
        <v>23</v>
      </c>
      <c r="C33" s="17" t="s">
        <v>23</v>
      </c>
      <c r="D33" s="18" t="str">
        <f>IFERROR(VLOOKUP(C33, 'Veri Bankası'!$C:$D, 2, FALSE), "")</f>
        <v/>
      </c>
      <c r="E33" s="27" t="s">
        <v>23</v>
      </c>
      <c r="F33" s="28" t="str">
        <f>IFERROR(HYPERLINK(VLOOKUP(C33, 'Veri Bankası'!$C:$G, 5, FALSE), "İzle"), "")</f>
        <v/>
      </c>
      <c r="G33" s="16" t="s">
        <v>23</v>
      </c>
    </row>
    <row r="34" ht="20" customHeight="1" spans="1:7" x14ac:dyDescent="0.25">
      <c r="A34" s="20" t="s">
        <v>24</v>
      </c>
      <c r="B34" s="21" t="s">
        <v>873</v>
      </c>
      <c r="C34" s="21" t="s">
        <v>874</v>
      </c>
      <c r="D34" s="21" t="s">
        <v>23</v>
      </c>
      <c r="E34" s="22">
        <v>20</v>
      </c>
      <c r="F34" s="20" t="s">
        <v>27</v>
      </c>
      <c r="G34" s="20" t="s">
        <v>27</v>
      </c>
    </row>
    <row r="35" ht="22" customHeight="1" spans="1:7" x14ac:dyDescent="0.25">
      <c r="A35" s="16" t="s">
        <v>28</v>
      </c>
      <c r="B35" s="17" t="s">
        <v>23</v>
      </c>
      <c r="C35" s="17" t="s">
        <v>23</v>
      </c>
      <c r="D35" s="18" t="str">
        <f>IFERROR(VLOOKUP(C35, 'Veri Bankası'!$C:$D, 2, FALSE), "")</f>
        <v/>
      </c>
      <c r="E35" s="27" t="s">
        <v>23</v>
      </c>
      <c r="F35" s="28" t="str">
        <f>IFERROR(HYPERLINK(VLOOKUP(C35, 'Veri Bankası'!$C:$G, 5, FALSE), "İzle"), "")</f>
        <v/>
      </c>
      <c r="G35" s="16" t="s">
        <v>23</v>
      </c>
    </row>
    <row r="36" ht="20" customHeight="1" spans="1:7" x14ac:dyDescent="0.25">
      <c r="A36" s="20" t="s">
        <v>30</v>
      </c>
      <c r="B36" s="21" t="s">
        <v>873</v>
      </c>
      <c r="C36" s="21" t="s">
        <v>874</v>
      </c>
      <c r="D36" s="21" t="s">
        <v>23</v>
      </c>
      <c r="E36" s="22">
        <v>20</v>
      </c>
      <c r="F36" s="20" t="s">
        <v>27</v>
      </c>
      <c r="G36" s="20" t="s">
        <v>27</v>
      </c>
    </row>
    <row r="37" ht="22" customHeight="1" spans="1:7" x14ac:dyDescent="0.25">
      <c r="A37" s="16" t="s">
        <v>31</v>
      </c>
      <c r="B37" s="17" t="s">
        <v>23</v>
      </c>
      <c r="C37" s="17" t="s">
        <v>23</v>
      </c>
      <c r="D37" s="18" t="str">
        <f>IFERROR(VLOOKUP(C37, 'Veri Bankası'!$C:$D, 2, FALSE), "")</f>
        <v/>
      </c>
      <c r="E37" s="27" t="s">
        <v>23</v>
      </c>
      <c r="F37" s="28" t="str">
        <f>IFERROR(HYPERLINK(VLOOKUP(C37, 'Veri Bankası'!$C:$G, 5, FALSE), "İzle"), "")</f>
        <v/>
      </c>
      <c r="G37" s="16" t="s">
        <v>23</v>
      </c>
    </row>
    <row r="38" ht="20" customHeight="1" spans="1:7" x14ac:dyDescent="0.25">
      <c r="A38" s="20" t="s">
        <v>35</v>
      </c>
      <c r="B38" s="21" t="s">
        <v>873</v>
      </c>
      <c r="C38" s="21" t="s">
        <v>874</v>
      </c>
      <c r="D38" s="21" t="s">
        <v>23</v>
      </c>
      <c r="E38" s="22">
        <v>20</v>
      </c>
      <c r="F38" s="20" t="s">
        <v>27</v>
      </c>
      <c r="G38" s="20" t="s">
        <v>27</v>
      </c>
    </row>
    <row r="39" ht="22" customHeight="1" spans="1:7" x14ac:dyDescent="0.25">
      <c r="A39" s="16" t="s">
        <v>36</v>
      </c>
      <c r="B39" s="17" t="s">
        <v>23</v>
      </c>
      <c r="C39" s="17" t="s">
        <v>23</v>
      </c>
      <c r="D39" s="18" t="str">
        <f>IFERROR(VLOOKUP(C39, 'Veri Bankası'!$C:$D, 2, FALSE), "")</f>
        <v/>
      </c>
      <c r="E39" s="27" t="s">
        <v>23</v>
      </c>
      <c r="F39" s="28" t="str">
        <f>IFERROR(HYPERLINK(VLOOKUP(C39, 'Veri Bankası'!$C:$G, 5, FALSE), "İzle"), "")</f>
        <v/>
      </c>
      <c r="G39" s="16" t="s">
        <v>23</v>
      </c>
    </row>
    <row r="40" ht="24" customHeight="1" spans="1:7" x14ac:dyDescent="0.25">
      <c r="A40" s="23" t="s">
        <v>38</v>
      </c>
      <c r="B40" s="23" t="s">
        <v>39</v>
      </c>
      <c r="C40" s="24" t="s">
        <v>875</v>
      </c>
      <c r="D40" s="25">
        <f>IFERROR(SUM(D33,D35,D37,D39), 0)</f>
        <v>0</v>
      </c>
      <c r="E40" s="25">
        <f>SUM(E34,E36,E38)</f>
        <v>60</v>
      </c>
      <c r="F40" s="23" t="str">
        <f>IF(D40&gt;0, "~" &amp; ROUND(D40/60, 1) &amp; " Saat", "-")</f>
        <v>-</v>
      </c>
      <c r="G40" s="23" t="str">
        <f>COUNTIF(G33:G39, "X") &amp; "/4"</f>
        <v>0/4</v>
      </c>
    </row>
    <row r="41" ht="22" customHeight="1" spans="1:7" x14ac:dyDescent="0.25">
      <c r="A41" s="15" t="s">
        <v>879</v>
      </c>
      <c r="B41" s="15"/>
      <c r="C41" s="15"/>
      <c r="D41" s="15"/>
      <c r="E41" s="15"/>
      <c r="F41" s="15"/>
      <c r="G41" s="15"/>
    </row>
    <row r="42" ht="22" customHeight="1" spans="1:7" x14ac:dyDescent="0.25">
      <c r="A42" s="16" t="s">
        <v>18</v>
      </c>
      <c r="B42" s="17" t="s">
        <v>23</v>
      </c>
      <c r="C42" s="17" t="s">
        <v>23</v>
      </c>
      <c r="D42" s="18" t="str">
        <f>IFERROR(VLOOKUP(C42, 'Veri Bankası'!$C:$D, 2, FALSE), "")</f>
        <v/>
      </c>
      <c r="E42" s="27" t="s">
        <v>23</v>
      </c>
      <c r="F42" s="28" t="str">
        <f>IFERROR(HYPERLINK(VLOOKUP(C42, 'Veri Bankası'!$C:$G, 5, FALSE), "İzle"), "")</f>
        <v/>
      </c>
      <c r="G42" s="16" t="s">
        <v>23</v>
      </c>
    </row>
    <row r="43" ht="20" customHeight="1" spans="1:7" x14ac:dyDescent="0.25">
      <c r="A43" s="20" t="s">
        <v>24</v>
      </c>
      <c r="B43" s="21" t="s">
        <v>873</v>
      </c>
      <c r="C43" s="21" t="s">
        <v>874</v>
      </c>
      <c r="D43" s="21" t="s">
        <v>23</v>
      </c>
      <c r="E43" s="22">
        <v>20</v>
      </c>
      <c r="F43" s="20" t="s">
        <v>27</v>
      </c>
      <c r="G43" s="20" t="s">
        <v>27</v>
      </c>
    </row>
    <row r="44" ht="22" customHeight="1" spans="1:7" x14ac:dyDescent="0.25">
      <c r="A44" s="16" t="s">
        <v>28</v>
      </c>
      <c r="B44" s="17" t="s">
        <v>23</v>
      </c>
      <c r="C44" s="17" t="s">
        <v>23</v>
      </c>
      <c r="D44" s="18" t="str">
        <f>IFERROR(VLOOKUP(C44, 'Veri Bankası'!$C:$D, 2, FALSE), "")</f>
        <v/>
      </c>
      <c r="E44" s="27" t="s">
        <v>23</v>
      </c>
      <c r="F44" s="28" t="str">
        <f>IFERROR(HYPERLINK(VLOOKUP(C44, 'Veri Bankası'!$C:$G, 5, FALSE), "İzle"), "")</f>
        <v/>
      </c>
      <c r="G44" s="16" t="s">
        <v>23</v>
      </c>
    </row>
    <row r="45" ht="20" customHeight="1" spans="1:7" x14ac:dyDescent="0.25">
      <c r="A45" s="20" t="s">
        <v>30</v>
      </c>
      <c r="B45" s="21" t="s">
        <v>873</v>
      </c>
      <c r="C45" s="21" t="s">
        <v>874</v>
      </c>
      <c r="D45" s="21" t="s">
        <v>23</v>
      </c>
      <c r="E45" s="22">
        <v>20</v>
      </c>
      <c r="F45" s="20" t="s">
        <v>27</v>
      </c>
      <c r="G45" s="20" t="s">
        <v>27</v>
      </c>
    </row>
    <row r="46" ht="22" customHeight="1" spans="1:7" x14ac:dyDescent="0.25">
      <c r="A46" s="16" t="s">
        <v>31</v>
      </c>
      <c r="B46" s="17" t="s">
        <v>23</v>
      </c>
      <c r="C46" s="17" t="s">
        <v>23</v>
      </c>
      <c r="D46" s="18" t="str">
        <f>IFERROR(VLOOKUP(C46, 'Veri Bankası'!$C:$D, 2, FALSE), "")</f>
        <v/>
      </c>
      <c r="E46" s="27" t="s">
        <v>23</v>
      </c>
      <c r="F46" s="28" t="str">
        <f>IFERROR(HYPERLINK(VLOOKUP(C46, 'Veri Bankası'!$C:$G, 5, FALSE), "İzle"), "")</f>
        <v/>
      </c>
      <c r="G46" s="16" t="s">
        <v>23</v>
      </c>
    </row>
    <row r="47" ht="20" customHeight="1" spans="1:7" x14ac:dyDescent="0.25">
      <c r="A47" s="20" t="s">
        <v>35</v>
      </c>
      <c r="B47" s="21" t="s">
        <v>873</v>
      </c>
      <c r="C47" s="21" t="s">
        <v>874</v>
      </c>
      <c r="D47" s="21" t="s">
        <v>23</v>
      </c>
      <c r="E47" s="22">
        <v>20</v>
      </c>
      <c r="F47" s="20" t="s">
        <v>27</v>
      </c>
      <c r="G47" s="20" t="s">
        <v>27</v>
      </c>
    </row>
    <row r="48" ht="22" customHeight="1" spans="1:7" x14ac:dyDescent="0.25">
      <c r="A48" s="16" t="s">
        <v>36</v>
      </c>
      <c r="B48" s="17" t="s">
        <v>23</v>
      </c>
      <c r="C48" s="17" t="s">
        <v>23</v>
      </c>
      <c r="D48" s="18" t="str">
        <f>IFERROR(VLOOKUP(C48, 'Veri Bankası'!$C:$D, 2, FALSE), "")</f>
        <v/>
      </c>
      <c r="E48" s="27" t="s">
        <v>23</v>
      </c>
      <c r="F48" s="28" t="str">
        <f>IFERROR(HYPERLINK(VLOOKUP(C48, 'Veri Bankası'!$C:$G, 5, FALSE), "İzle"), "")</f>
        <v/>
      </c>
      <c r="G48" s="16" t="s">
        <v>23</v>
      </c>
    </row>
    <row r="49" ht="24" customHeight="1" spans="1:7" x14ac:dyDescent="0.25">
      <c r="A49" s="23" t="s">
        <v>38</v>
      </c>
      <c r="B49" s="23" t="s">
        <v>39</v>
      </c>
      <c r="C49" s="24" t="s">
        <v>875</v>
      </c>
      <c r="D49" s="25">
        <f>IFERROR(SUM(D42,D44,D46,D48), 0)</f>
        <v>0</v>
      </c>
      <c r="E49" s="25">
        <f>SUM(E43,E45,E47)</f>
        <v>60</v>
      </c>
      <c r="F49" s="23" t="str">
        <f>IF(D49&gt;0, "~" &amp; ROUND(D49/60, 1) &amp; " Saat", "-")</f>
        <v>-</v>
      </c>
      <c r="G49" s="23" t="str">
        <f>COUNTIF(G42:G48, "X") &amp; "/4"</f>
        <v>0/4</v>
      </c>
    </row>
    <row r="50" ht="22" customHeight="1" spans="1:7" x14ac:dyDescent="0.25">
      <c r="A50" s="15" t="s">
        <v>880</v>
      </c>
      <c r="B50" s="15"/>
      <c r="C50" s="15"/>
      <c r="D50" s="15"/>
      <c r="E50" s="15"/>
      <c r="F50" s="15"/>
      <c r="G50" s="15"/>
    </row>
    <row r="51" ht="22" customHeight="1" spans="1:7" x14ac:dyDescent="0.25">
      <c r="A51" s="16" t="s">
        <v>18</v>
      </c>
      <c r="B51" s="17" t="s">
        <v>23</v>
      </c>
      <c r="C51" s="17" t="s">
        <v>23</v>
      </c>
      <c r="D51" s="18" t="str">
        <f>IFERROR(VLOOKUP(C51, 'Veri Bankası'!$C:$D, 2, FALSE), "")</f>
        <v/>
      </c>
      <c r="E51" s="27" t="s">
        <v>23</v>
      </c>
      <c r="F51" s="28" t="str">
        <f>IFERROR(HYPERLINK(VLOOKUP(C51, 'Veri Bankası'!$C:$G, 5, FALSE), "İzle"), "")</f>
        <v/>
      </c>
      <c r="G51" s="16" t="s">
        <v>23</v>
      </c>
    </row>
    <row r="52" ht="20" customHeight="1" spans="1:7" x14ac:dyDescent="0.25">
      <c r="A52" s="20" t="s">
        <v>24</v>
      </c>
      <c r="B52" s="21" t="s">
        <v>873</v>
      </c>
      <c r="C52" s="21" t="s">
        <v>874</v>
      </c>
      <c r="D52" s="21" t="s">
        <v>23</v>
      </c>
      <c r="E52" s="22">
        <v>20</v>
      </c>
      <c r="F52" s="20" t="s">
        <v>27</v>
      </c>
      <c r="G52" s="20" t="s">
        <v>27</v>
      </c>
    </row>
    <row r="53" ht="22" customHeight="1" spans="1:7" x14ac:dyDescent="0.25">
      <c r="A53" s="16" t="s">
        <v>28</v>
      </c>
      <c r="B53" s="17" t="s">
        <v>23</v>
      </c>
      <c r="C53" s="17" t="s">
        <v>23</v>
      </c>
      <c r="D53" s="18" t="str">
        <f>IFERROR(VLOOKUP(C53, 'Veri Bankası'!$C:$D, 2, FALSE), "")</f>
        <v/>
      </c>
      <c r="E53" s="27" t="s">
        <v>23</v>
      </c>
      <c r="F53" s="28" t="str">
        <f>IFERROR(HYPERLINK(VLOOKUP(C53, 'Veri Bankası'!$C:$G, 5, FALSE), "İzle"), "")</f>
        <v/>
      </c>
      <c r="G53" s="16" t="s">
        <v>23</v>
      </c>
    </row>
    <row r="54" ht="20" customHeight="1" spans="1:7" x14ac:dyDescent="0.25">
      <c r="A54" s="20" t="s">
        <v>30</v>
      </c>
      <c r="B54" s="21" t="s">
        <v>873</v>
      </c>
      <c r="C54" s="21" t="s">
        <v>874</v>
      </c>
      <c r="D54" s="21" t="s">
        <v>23</v>
      </c>
      <c r="E54" s="22">
        <v>20</v>
      </c>
      <c r="F54" s="20" t="s">
        <v>27</v>
      </c>
      <c r="G54" s="20" t="s">
        <v>27</v>
      </c>
    </row>
    <row r="55" ht="22" customHeight="1" spans="1:7" x14ac:dyDescent="0.25">
      <c r="A55" s="16" t="s">
        <v>31</v>
      </c>
      <c r="B55" s="17" t="s">
        <v>23</v>
      </c>
      <c r="C55" s="17" t="s">
        <v>23</v>
      </c>
      <c r="D55" s="18" t="str">
        <f>IFERROR(VLOOKUP(C55, 'Veri Bankası'!$C:$D, 2, FALSE), "")</f>
        <v/>
      </c>
      <c r="E55" s="27" t="s">
        <v>23</v>
      </c>
      <c r="F55" s="28" t="str">
        <f>IFERROR(HYPERLINK(VLOOKUP(C55, 'Veri Bankası'!$C:$G, 5, FALSE), "İzle"), "")</f>
        <v/>
      </c>
      <c r="G55" s="16" t="s">
        <v>23</v>
      </c>
    </row>
    <row r="56" ht="20" customHeight="1" spans="1:7" x14ac:dyDescent="0.25">
      <c r="A56" s="20" t="s">
        <v>35</v>
      </c>
      <c r="B56" s="21" t="s">
        <v>873</v>
      </c>
      <c r="C56" s="21" t="s">
        <v>874</v>
      </c>
      <c r="D56" s="21" t="s">
        <v>23</v>
      </c>
      <c r="E56" s="22">
        <v>20</v>
      </c>
      <c r="F56" s="20" t="s">
        <v>27</v>
      </c>
      <c r="G56" s="20" t="s">
        <v>27</v>
      </c>
    </row>
    <row r="57" ht="22" customHeight="1" spans="1:7" x14ac:dyDescent="0.25">
      <c r="A57" s="16" t="s">
        <v>36</v>
      </c>
      <c r="B57" s="17" t="s">
        <v>23</v>
      </c>
      <c r="C57" s="17" t="s">
        <v>23</v>
      </c>
      <c r="D57" s="18" t="str">
        <f>IFERROR(VLOOKUP(C57, 'Veri Bankası'!$C:$D, 2, FALSE), "")</f>
        <v/>
      </c>
      <c r="E57" s="27" t="s">
        <v>23</v>
      </c>
      <c r="F57" s="28" t="str">
        <f>IFERROR(HYPERLINK(VLOOKUP(C57, 'Veri Bankası'!$C:$G, 5, FALSE), "İzle"), "")</f>
        <v/>
      </c>
      <c r="G57" s="16" t="s">
        <v>23</v>
      </c>
    </row>
    <row r="58" ht="24" customHeight="1" spans="1:7" x14ac:dyDescent="0.25">
      <c r="A58" s="23" t="s">
        <v>38</v>
      </c>
      <c r="B58" s="23" t="s">
        <v>39</v>
      </c>
      <c r="C58" s="24" t="s">
        <v>875</v>
      </c>
      <c r="D58" s="25">
        <f>IFERROR(SUM(D51,D53,D55,D57), 0)</f>
        <v>0</v>
      </c>
      <c r="E58" s="25">
        <f>SUM(E52,E54,E56)</f>
        <v>60</v>
      </c>
      <c r="F58" s="23" t="str">
        <f>IF(D58&gt;0, "~" &amp; ROUND(D58/60, 1) &amp; " Saat", "-")</f>
        <v>-</v>
      </c>
      <c r="G58" s="23" t="str">
        <f>COUNTIF(G51:G57, "X") &amp; "/4"</f>
        <v>0/4</v>
      </c>
    </row>
    <row r="59" ht="28" customHeight="1" spans="1:7" x14ac:dyDescent="0.25">
      <c r="A59" s="26" t="s">
        <v>79</v>
      </c>
      <c r="B59" s="26"/>
      <c r="C59" s="26"/>
      <c r="D59" s="26"/>
      <c r="E59" s="26"/>
      <c r="F59" s="26"/>
      <c r="G59" s="26"/>
    </row>
    <row r="60" ht="8" customHeight="1" x14ac:dyDescent="0.25"/>
    <row r="61" ht="28" customHeight="1" spans="1:7" x14ac:dyDescent="0.25">
      <c r="A61" s="29" t="s">
        <v>881</v>
      </c>
      <c r="B61" s="29" t="s">
        <v>882</v>
      </c>
      <c r="C61" s="30" t="s">
        <v>883</v>
      </c>
      <c r="D61" s="31">
        <f>SUM(D13,D22,D31,D40,D49,D58)</f>
        <v>0</v>
      </c>
      <c r="E61" s="31">
        <f>SUM(E13,E22,E31,E40,E49,E58)</f>
        <v>360</v>
      </c>
      <c r="F61" s="29" t="str">
        <f>IF(D61&gt;0, "~" &amp; ROUND(D61/60, 1) &amp; " Saat", "0 Saat")</f>
        <v>0 Saat</v>
      </c>
      <c r="G61" s="29" t="str">
        <f>COUNTIF(G5:G59, "X") &amp; " / 24"</f>
        <v>0 / 24</v>
      </c>
    </row>
  </sheetData>
  <mergeCells count="9">
    <mergeCell ref="A1:G1"/>
    <mergeCell ref="A2:G2"/>
    <mergeCell ref="A5:G5"/>
    <mergeCell ref="A14:G14"/>
    <mergeCell ref="A23:G23"/>
    <mergeCell ref="A32:G32"/>
    <mergeCell ref="A41:G41"/>
    <mergeCell ref="A50:G50"/>
    <mergeCell ref="A59:G59"/>
  </mergeCells>
  <conditionalFormatting sqref="A5:G61">
    <cfRule type="expression" dxfId="1" priority="1">
      <formula>$G5="X"</formula>
    </cfRule>
  </conditionalFormatting>
  <dataValidations count="48">
    <dataValidation type="list" allowBlank="1" sqref="B10">
      <formula1>=Ders_Listesi</formula1>
    </dataValidation>
    <dataValidation type="list" allowBlank="1" sqref="B12">
      <formula1>=Ders_Listesi</formula1>
    </dataValidation>
    <dataValidation type="list" allowBlank="1" sqref="B15">
      <formula1>=Ders_Listesi</formula1>
    </dataValidation>
    <dataValidation type="list" allowBlank="1" sqref="B17">
      <formula1>=Ders_Listesi</formula1>
    </dataValidation>
    <dataValidation type="list" allowBlank="1" sqref="B19">
      <formula1>=Ders_Listesi</formula1>
    </dataValidation>
    <dataValidation type="list" allowBlank="1" sqref="B21">
      <formula1>=Ders_Listesi</formula1>
    </dataValidation>
    <dataValidation type="list" allowBlank="1" sqref="B24">
      <formula1>=Ders_Listesi</formula1>
    </dataValidation>
    <dataValidation type="list" allowBlank="1" sqref="B26">
      <formula1>=Ders_Listesi</formula1>
    </dataValidation>
    <dataValidation type="list" allowBlank="1" sqref="B28">
      <formula1>=Ders_Listesi</formula1>
    </dataValidation>
    <dataValidation type="list" allowBlank="1" sqref="B30">
      <formula1>=Ders_Listesi</formula1>
    </dataValidation>
    <dataValidation type="list" allowBlank="1" sqref="B33">
      <formula1>=Ders_Listesi</formula1>
    </dataValidation>
    <dataValidation type="list" allowBlank="1" sqref="B35">
      <formula1>=Ders_Listesi</formula1>
    </dataValidation>
    <dataValidation type="list" allowBlank="1" sqref="B37">
      <formula1>=Ders_Listesi</formula1>
    </dataValidation>
    <dataValidation type="list" allowBlank="1" sqref="B39">
      <formula1>=Ders_Listesi</formula1>
    </dataValidation>
    <dataValidation type="list" allowBlank="1" sqref="B42">
      <formula1>=Ders_Listesi</formula1>
    </dataValidation>
    <dataValidation type="list" allowBlank="1" sqref="B44">
      <formula1>=Ders_Listesi</formula1>
    </dataValidation>
    <dataValidation type="list" allowBlank="1" sqref="B46">
      <formula1>=Ders_Listesi</formula1>
    </dataValidation>
    <dataValidation type="list" allowBlank="1" sqref="B48">
      <formula1>=Ders_Listesi</formula1>
    </dataValidation>
    <dataValidation type="list" allowBlank="1" sqref="B51">
      <formula1>=Ders_Listesi</formula1>
    </dataValidation>
    <dataValidation type="list" allowBlank="1" sqref="B53">
      <formula1>=Ders_Listesi</formula1>
    </dataValidation>
    <dataValidation type="list" allowBlank="1" sqref="B55">
      <formula1>=Ders_Listesi</formula1>
    </dataValidation>
    <dataValidation type="list" allowBlank="1" sqref="B57">
      <formula1>=Ders_Listesi</formula1>
    </dataValidation>
    <dataValidation type="list" allowBlank="1" sqref="B6">
      <formula1>=Ders_Listesi</formula1>
    </dataValidation>
    <dataValidation type="list" allowBlank="1" sqref="B8">
      <formula1>=Ders_Listesi</formula1>
    </dataValidation>
    <dataValidation type="list" allowBlank="1" sqref="C10">
      <formula1>=INDIRECT(SUBSTITUTE(SUBSTITUTE(B10," ","_"),"-","_"))</formula1>
    </dataValidation>
    <dataValidation type="list" allowBlank="1" sqref="C12">
      <formula1>=INDIRECT(SUBSTITUTE(SUBSTITUTE(B12," ","_"),"-","_"))</formula1>
    </dataValidation>
    <dataValidation type="list" allowBlank="1" sqref="C15">
      <formula1>=INDIRECT(SUBSTITUTE(SUBSTITUTE(B15," ","_"),"-","_"))</formula1>
    </dataValidation>
    <dataValidation type="list" allowBlank="1" sqref="C17">
      <formula1>=INDIRECT(SUBSTITUTE(SUBSTITUTE(B17," ","_"),"-","_"))</formula1>
    </dataValidation>
    <dataValidation type="list" allowBlank="1" sqref="C19">
      <formula1>=INDIRECT(SUBSTITUTE(SUBSTITUTE(B19," ","_"),"-","_"))</formula1>
    </dataValidation>
    <dataValidation type="list" allowBlank="1" sqref="C21">
      <formula1>=INDIRECT(SUBSTITUTE(SUBSTITUTE(B21," ","_"),"-","_"))</formula1>
    </dataValidation>
    <dataValidation type="list" allowBlank="1" sqref="C24">
      <formula1>=INDIRECT(SUBSTITUTE(SUBSTITUTE(B24," ","_"),"-","_"))</formula1>
    </dataValidation>
    <dataValidation type="list" allowBlank="1" sqref="C26">
      <formula1>=INDIRECT(SUBSTITUTE(SUBSTITUTE(B26," ","_"),"-","_"))</formula1>
    </dataValidation>
    <dataValidation type="list" allowBlank="1" sqref="C28">
      <formula1>=INDIRECT(SUBSTITUTE(SUBSTITUTE(B28," ","_"),"-","_"))</formula1>
    </dataValidation>
    <dataValidation type="list" allowBlank="1" sqref="C30">
      <formula1>=INDIRECT(SUBSTITUTE(SUBSTITUTE(B30," ","_"),"-","_"))</formula1>
    </dataValidation>
    <dataValidation type="list" allowBlank="1" sqref="C33">
      <formula1>=INDIRECT(SUBSTITUTE(SUBSTITUTE(B33," ","_"),"-","_"))</formula1>
    </dataValidation>
    <dataValidation type="list" allowBlank="1" sqref="C35">
      <formula1>=INDIRECT(SUBSTITUTE(SUBSTITUTE(B35," ","_"),"-","_"))</formula1>
    </dataValidation>
    <dataValidation type="list" allowBlank="1" sqref="C37">
      <formula1>=INDIRECT(SUBSTITUTE(SUBSTITUTE(B37," ","_"),"-","_"))</formula1>
    </dataValidation>
    <dataValidation type="list" allowBlank="1" sqref="C39">
      <formula1>=INDIRECT(SUBSTITUTE(SUBSTITUTE(B39," ","_"),"-","_"))</formula1>
    </dataValidation>
    <dataValidation type="list" allowBlank="1" sqref="C42">
      <formula1>=INDIRECT(SUBSTITUTE(SUBSTITUTE(B42," ","_"),"-","_"))</formula1>
    </dataValidation>
    <dataValidation type="list" allowBlank="1" sqref="C44">
      <formula1>=INDIRECT(SUBSTITUTE(SUBSTITUTE(B44," ","_"),"-","_"))</formula1>
    </dataValidation>
    <dataValidation type="list" allowBlank="1" sqref="C46">
      <formula1>=INDIRECT(SUBSTITUTE(SUBSTITUTE(B46," ","_"),"-","_"))</formula1>
    </dataValidation>
    <dataValidation type="list" allowBlank="1" sqref="C48">
      <formula1>=INDIRECT(SUBSTITUTE(SUBSTITUTE(B48," ","_"),"-","_"))</formula1>
    </dataValidation>
    <dataValidation type="list" allowBlank="1" sqref="C51">
      <formula1>=INDIRECT(SUBSTITUTE(SUBSTITUTE(B51," ","_"),"-","_"))</formula1>
    </dataValidation>
    <dataValidation type="list" allowBlank="1" sqref="C53">
      <formula1>=INDIRECT(SUBSTITUTE(SUBSTITUTE(B53," ","_"),"-","_"))</formula1>
    </dataValidation>
    <dataValidation type="list" allowBlank="1" sqref="C55">
      <formula1>=INDIRECT(SUBSTITUTE(SUBSTITUTE(B55," ","_"),"-","_"))</formula1>
    </dataValidation>
    <dataValidation type="list" allowBlank="1" sqref="C57">
      <formula1>=INDIRECT(SUBSTITUTE(SUBSTITUTE(B57," ","_"),"-","_"))</formula1>
    </dataValidation>
    <dataValidation type="list" allowBlank="1" sqref="C6">
      <formula1>=INDIRECT(SUBSTITUTE(SUBSTITUTE(B6," ","_"),"-","_"))</formula1>
    </dataValidation>
    <dataValidation type="list" allowBlank="1" sqref="C8">
      <formula1>=INDIRECT(SUBSTITUTE(SUBSTITUTE(B8," ","_"),"-","_"))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I7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52" customWidth="1"/>
    <col min="4" max="5" width="14" customWidth="1"/>
    <col min="6" max="6" width="34" customWidth="1"/>
    <col min="7" max="7" width="48" customWidth="1"/>
    <col min="8" max="8" width="4" customWidth="1"/>
    <col min="9" max="9" width="22" customWidth="1"/>
  </cols>
  <sheetData>
    <row r="1" ht="28" customHeight="1" spans="1:9" x14ac:dyDescent="0.25">
      <c r="A1" s="12" t="s">
        <v>10</v>
      </c>
      <c r="B1" s="13" t="s">
        <v>884</v>
      </c>
      <c r="C1" s="12" t="s">
        <v>885</v>
      </c>
      <c r="D1" s="13" t="s">
        <v>13</v>
      </c>
      <c r="E1" s="13" t="s">
        <v>886</v>
      </c>
      <c r="F1" s="12" t="s">
        <v>12</v>
      </c>
      <c r="G1" s="11" t="s">
        <v>887</v>
      </c>
      <c r="H1" t="s">
        <v>23</v>
      </c>
      <c r="I1" s="32" t="s">
        <v>888</v>
      </c>
    </row>
    <row r="2" ht="20" customHeight="1" spans="1:9" x14ac:dyDescent="0.25">
      <c r="A2" s="17" t="s">
        <v>19</v>
      </c>
      <c r="B2" s="33">
        <v>1</v>
      </c>
      <c r="C2" s="17" t="s">
        <v>20</v>
      </c>
      <c r="D2" s="18">
        <v>11.7</v>
      </c>
      <c r="E2" s="33">
        <v>704</v>
      </c>
      <c r="F2" s="17" t="s">
        <v>889</v>
      </c>
      <c r="G2" s="17" t="s">
        <v>890</v>
      </c>
      <c r="I2" s="34" t="s">
        <v>19</v>
      </c>
    </row>
    <row r="3" ht="20" customHeight="1" spans="1:9" x14ac:dyDescent="0.25">
      <c r="A3" s="35" t="s">
        <v>19</v>
      </c>
      <c r="B3" s="36">
        <v>2</v>
      </c>
      <c r="C3" s="35" t="s">
        <v>29</v>
      </c>
      <c r="D3" s="37">
        <v>37.3</v>
      </c>
      <c r="E3" s="36">
        <v>2239</v>
      </c>
      <c r="F3" s="35" t="s">
        <v>889</v>
      </c>
      <c r="G3" s="35" t="s">
        <v>891</v>
      </c>
      <c r="I3" s="34" t="s">
        <v>47</v>
      </c>
    </row>
    <row r="4" ht="20" customHeight="1" spans="1:9" x14ac:dyDescent="0.25">
      <c r="A4" s="17" t="s">
        <v>19</v>
      </c>
      <c r="B4" s="33">
        <v>3</v>
      </c>
      <c r="C4" s="17" t="s">
        <v>81</v>
      </c>
      <c r="D4" s="18">
        <v>31.9</v>
      </c>
      <c r="E4" s="33">
        <v>1912</v>
      </c>
      <c r="F4" s="17" t="s">
        <v>889</v>
      </c>
      <c r="G4" s="17" t="s">
        <v>892</v>
      </c>
      <c r="I4" s="34" t="s">
        <v>32</v>
      </c>
    </row>
    <row r="5" ht="20" customHeight="1" spans="1:9" x14ac:dyDescent="0.25">
      <c r="A5" s="35" t="s">
        <v>19</v>
      </c>
      <c r="B5" s="36">
        <v>4</v>
      </c>
      <c r="C5" s="35" t="s">
        <v>82</v>
      </c>
      <c r="D5" s="37">
        <v>34.5</v>
      </c>
      <c r="E5" s="36">
        <v>2068</v>
      </c>
      <c r="F5" s="35" t="s">
        <v>889</v>
      </c>
      <c r="G5" s="35" t="s">
        <v>893</v>
      </c>
      <c r="I5" s="34" t="s">
        <v>449</v>
      </c>
    </row>
    <row r="6" ht="20" customHeight="1" spans="1:9" x14ac:dyDescent="0.25">
      <c r="A6" s="17" t="s">
        <v>19</v>
      </c>
      <c r="B6" s="33">
        <v>5</v>
      </c>
      <c r="C6" s="17" t="s">
        <v>106</v>
      </c>
      <c r="D6" s="18">
        <v>18.8</v>
      </c>
      <c r="E6" s="33">
        <v>1125</v>
      </c>
      <c r="F6" s="17" t="s">
        <v>889</v>
      </c>
      <c r="G6" s="17" t="s">
        <v>894</v>
      </c>
      <c r="I6" s="34" t="s">
        <v>43</v>
      </c>
    </row>
    <row r="7" ht="20" customHeight="1" spans="1:9" x14ac:dyDescent="0.25">
      <c r="A7" s="35" t="s">
        <v>19</v>
      </c>
      <c r="B7" s="36">
        <v>6</v>
      </c>
      <c r="C7" s="35" t="s">
        <v>107</v>
      </c>
      <c r="D7" s="37">
        <v>9.6</v>
      </c>
      <c r="E7" s="36">
        <v>578</v>
      </c>
      <c r="F7" s="35" t="s">
        <v>889</v>
      </c>
      <c r="G7" s="35" t="s">
        <v>895</v>
      </c>
      <c r="I7" s="34" t="s">
        <v>52</v>
      </c>
    </row>
    <row r="8" ht="20" customHeight="1" spans="1:9" x14ac:dyDescent="0.25">
      <c r="A8" s="17" t="s">
        <v>19</v>
      </c>
      <c r="B8" s="33">
        <v>7</v>
      </c>
      <c r="C8" s="17" t="s">
        <v>131</v>
      </c>
      <c r="D8" s="18">
        <v>14.7</v>
      </c>
      <c r="E8" s="33">
        <v>879</v>
      </c>
      <c r="F8" s="17" t="s">
        <v>889</v>
      </c>
      <c r="G8" s="17" t="s">
        <v>896</v>
      </c>
      <c r="I8" s="34" t="s">
        <v>68</v>
      </c>
    </row>
    <row r="9" ht="20" customHeight="1" spans="1:9" x14ac:dyDescent="0.25">
      <c r="A9" s="35" t="s">
        <v>19</v>
      </c>
      <c r="B9" s="36">
        <v>8</v>
      </c>
      <c r="C9" s="35" t="s">
        <v>132</v>
      </c>
      <c r="D9" s="37">
        <v>7.2</v>
      </c>
      <c r="E9" s="36">
        <v>433</v>
      </c>
      <c r="F9" s="35" t="s">
        <v>889</v>
      </c>
      <c r="G9" s="35" t="s">
        <v>897</v>
      </c>
      <c r="I9" s="34" t="s">
        <v>63</v>
      </c>
    </row>
    <row r="10" ht="20" customHeight="1" spans="1:9" x14ac:dyDescent="0.25">
      <c r="A10" s="17" t="s">
        <v>19</v>
      </c>
      <c r="B10" s="33">
        <v>9</v>
      </c>
      <c r="C10" s="17" t="s">
        <v>156</v>
      </c>
      <c r="D10" s="18">
        <v>36.2</v>
      </c>
      <c r="E10" s="33">
        <v>2175</v>
      </c>
      <c r="F10" s="17" t="s">
        <v>889</v>
      </c>
      <c r="G10" s="17" t="s">
        <v>898</v>
      </c>
      <c r="I10" s="34" t="s">
        <v>56</v>
      </c>
    </row>
    <row r="11" ht="20" customHeight="1" spans="1:7" x14ac:dyDescent="0.25">
      <c r="A11" s="35" t="s">
        <v>19</v>
      </c>
      <c r="B11" s="36">
        <v>10</v>
      </c>
      <c r="C11" s="35" t="s">
        <v>157</v>
      </c>
      <c r="D11" s="37">
        <v>26.6</v>
      </c>
      <c r="E11" s="36">
        <v>1595</v>
      </c>
      <c r="F11" s="35" t="s">
        <v>889</v>
      </c>
      <c r="G11" s="35" t="s">
        <v>899</v>
      </c>
    </row>
    <row r="12" ht="20" customHeight="1" spans="1:7" x14ac:dyDescent="0.25">
      <c r="A12" s="17" t="s">
        <v>19</v>
      </c>
      <c r="B12" s="33">
        <v>11</v>
      </c>
      <c r="C12" s="17" t="s">
        <v>181</v>
      </c>
      <c r="D12" s="18">
        <v>24.9</v>
      </c>
      <c r="E12" s="33">
        <v>1493</v>
      </c>
      <c r="F12" s="17" t="s">
        <v>889</v>
      </c>
      <c r="G12" s="17" t="s">
        <v>900</v>
      </c>
    </row>
    <row r="13" ht="20" customHeight="1" spans="1:7" x14ac:dyDescent="0.25">
      <c r="A13" s="35" t="s">
        <v>19</v>
      </c>
      <c r="B13" s="36">
        <v>12</v>
      </c>
      <c r="C13" s="35" t="s">
        <v>182</v>
      </c>
      <c r="D13" s="37">
        <v>25.9</v>
      </c>
      <c r="E13" s="36">
        <v>1551</v>
      </c>
      <c r="F13" s="35" t="s">
        <v>889</v>
      </c>
      <c r="G13" s="35" t="s">
        <v>901</v>
      </c>
    </row>
    <row r="14" ht="20" customHeight="1" spans="1:7" x14ac:dyDescent="0.25">
      <c r="A14" s="17" t="s">
        <v>19</v>
      </c>
      <c r="B14" s="33">
        <v>13</v>
      </c>
      <c r="C14" s="17" t="s">
        <v>206</v>
      </c>
      <c r="D14" s="18">
        <v>16.7</v>
      </c>
      <c r="E14" s="33">
        <v>1002</v>
      </c>
      <c r="F14" s="17" t="s">
        <v>889</v>
      </c>
      <c r="G14" s="17" t="s">
        <v>902</v>
      </c>
    </row>
    <row r="15" ht="20" customHeight="1" spans="1:7" x14ac:dyDescent="0.25">
      <c r="A15" s="35" t="s">
        <v>19</v>
      </c>
      <c r="B15" s="36">
        <v>14</v>
      </c>
      <c r="C15" s="35" t="s">
        <v>207</v>
      </c>
      <c r="D15" s="37">
        <v>15.4</v>
      </c>
      <c r="E15" s="36">
        <v>924</v>
      </c>
      <c r="F15" s="35" t="s">
        <v>889</v>
      </c>
      <c r="G15" s="35" t="s">
        <v>903</v>
      </c>
    </row>
    <row r="16" ht="20" customHeight="1" spans="1:7" x14ac:dyDescent="0.25">
      <c r="A16" s="17" t="s">
        <v>19</v>
      </c>
      <c r="B16" s="33">
        <v>15</v>
      </c>
      <c r="C16" s="17" t="s">
        <v>231</v>
      </c>
      <c r="D16" s="18">
        <v>12.3</v>
      </c>
      <c r="E16" s="33">
        <v>737</v>
      </c>
      <c r="F16" s="17" t="s">
        <v>889</v>
      </c>
      <c r="G16" s="17" t="s">
        <v>904</v>
      </c>
    </row>
    <row r="17" ht="20" customHeight="1" spans="1:7" x14ac:dyDescent="0.25">
      <c r="A17" s="35" t="s">
        <v>19</v>
      </c>
      <c r="B17" s="36">
        <v>16</v>
      </c>
      <c r="C17" s="35" t="s">
        <v>232</v>
      </c>
      <c r="D17" s="37">
        <v>6.5</v>
      </c>
      <c r="E17" s="36">
        <v>390</v>
      </c>
      <c r="F17" s="35" t="s">
        <v>889</v>
      </c>
      <c r="G17" s="35" t="s">
        <v>905</v>
      </c>
    </row>
    <row r="18" ht="20" customHeight="1" spans="1:7" x14ac:dyDescent="0.25">
      <c r="A18" s="17" t="s">
        <v>19</v>
      </c>
      <c r="B18" s="33">
        <v>17</v>
      </c>
      <c r="C18" s="17" t="s">
        <v>256</v>
      </c>
      <c r="D18" s="18">
        <v>22.6</v>
      </c>
      <c r="E18" s="33">
        <v>1358</v>
      </c>
      <c r="F18" s="17" t="s">
        <v>889</v>
      </c>
      <c r="G18" s="17" t="s">
        <v>906</v>
      </c>
    </row>
    <row r="19" ht="20" customHeight="1" spans="1:7" x14ac:dyDescent="0.25">
      <c r="A19" s="35" t="s">
        <v>19</v>
      </c>
      <c r="B19" s="36">
        <v>18</v>
      </c>
      <c r="C19" s="35" t="s">
        <v>257</v>
      </c>
      <c r="D19" s="37">
        <v>20.8</v>
      </c>
      <c r="E19" s="36">
        <v>1247</v>
      </c>
      <c r="F19" s="35" t="s">
        <v>889</v>
      </c>
      <c r="G19" s="35" t="s">
        <v>907</v>
      </c>
    </row>
    <row r="20" ht="20" customHeight="1" spans="1:7" x14ac:dyDescent="0.25">
      <c r="A20" s="17" t="s">
        <v>19</v>
      </c>
      <c r="B20" s="33">
        <v>19</v>
      </c>
      <c r="C20" s="17" t="s">
        <v>281</v>
      </c>
      <c r="D20" s="18">
        <v>10.6</v>
      </c>
      <c r="E20" s="33">
        <v>633</v>
      </c>
      <c r="F20" s="17" t="s">
        <v>889</v>
      </c>
      <c r="G20" s="17" t="s">
        <v>908</v>
      </c>
    </row>
    <row r="21" ht="20" customHeight="1" spans="1:7" x14ac:dyDescent="0.25">
      <c r="A21" s="35" t="s">
        <v>19</v>
      </c>
      <c r="B21" s="36">
        <v>20</v>
      </c>
      <c r="C21" s="35" t="s">
        <v>282</v>
      </c>
      <c r="D21" s="37">
        <v>16.8</v>
      </c>
      <c r="E21" s="36">
        <v>1008</v>
      </c>
      <c r="F21" s="35" t="s">
        <v>889</v>
      </c>
      <c r="G21" s="35" t="s">
        <v>909</v>
      </c>
    </row>
    <row r="22" ht="20" customHeight="1" spans="1:7" x14ac:dyDescent="0.25">
      <c r="A22" s="17" t="s">
        <v>19</v>
      </c>
      <c r="B22" s="33">
        <v>21</v>
      </c>
      <c r="C22" s="17" t="s">
        <v>306</v>
      </c>
      <c r="D22" s="18">
        <v>17.3</v>
      </c>
      <c r="E22" s="33">
        <v>1040</v>
      </c>
      <c r="F22" s="17" t="s">
        <v>889</v>
      </c>
      <c r="G22" s="17" t="s">
        <v>910</v>
      </c>
    </row>
    <row r="23" ht="20" customHeight="1" spans="1:7" x14ac:dyDescent="0.25">
      <c r="A23" s="35" t="s">
        <v>19</v>
      </c>
      <c r="B23" s="36">
        <v>22</v>
      </c>
      <c r="C23" s="35" t="s">
        <v>307</v>
      </c>
      <c r="D23" s="37">
        <v>5.9</v>
      </c>
      <c r="E23" s="36">
        <v>355</v>
      </c>
      <c r="F23" s="35" t="s">
        <v>889</v>
      </c>
      <c r="G23" s="35" t="s">
        <v>911</v>
      </c>
    </row>
    <row r="24" ht="20" customHeight="1" spans="1:7" x14ac:dyDescent="0.25">
      <c r="A24" s="17" t="s">
        <v>19</v>
      </c>
      <c r="B24" s="33">
        <v>23</v>
      </c>
      <c r="C24" s="17" t="s">
        <v>331</v>
      </c>
      <c r="D24" s="18">
        <v>26.8</v>
      </c>
      <c r="E24" s="33">
        <v>1606</v>
      </c>
      <c r="F24" s="17" t="s">
        <v>889</v>
      </c>
      <c r="G24" s="17" t="s">
        <v>912</v>
      </c>
    </row>
    <row r="25" ht="20" customHeight="1" spans="1:7" x14ac:dyDescent="0.25">
      <c r="A25" s="35" t="s">
        <v>19</v>
      </c>
      <c r="B25" s="36">
        <v>24</v>
      </c>
      <c r="C25" s="35" t="s">
        <v>332</v>
      </c>
      <c r="D25" s="37">
        <v>29.4</v>
      </c>
      <c r="E25" s="36">
        <v>1764</v>
      </c>
      <c r="F25" s="35" t="s">
        <v>889</v>
      </c>
      <c r="G25" s="35" t="s">
        <v>913</v>
      </c>
    </row>
    <row r="26" ht="20" customHeight="1" spans="1:7" x14ac:dyDescent="0.25">
      <c r="A26" s="17" t="s">
        <v>19</v>
      </c>
      <c r="B26" s="33">
        <v>25</v>
      </c>
      <c r="C26" s="17" t="s">
        <v>356</v>
      </c>
      <c r="D26" s="18">
        <v>15</v>
      </c>
      <c r="E26" s="33">
        <v>898</v>
      </c>
      <c r="F26" s="17" t="s">
        <v>889</v>
      </c>
      <c r="G26" s="17" t="s">
        <v>914</v>
      </c>
    </row>
    <row r="27" ht="20" customHeight="1" spans="1:7" x14ac:dyDescent="0.25">
      <c r="A27" s="35" t="s">
        <v>19</v>
      </c>
      <c r="B27" s="36">
        <v>26</v>
      </c>
      <c r="C27" s="35" t="s">
        <v>357</v>
      </c>
      <c r="D27" s="37">
        <v>12.3</v>
      </c>
      <c r="E27" s="36">
        <v>738</v>
      </c>
      <c r="F27" s="35" t="s">
        <v>889</v>
      </c>
      <c r="G27" s="35" t="s">
        <v>915</v>
      </c>
    </row>
    <row r="28" ht="20" customHeight="1" spans="1:7" x14ac:dyDescent="0.25">
      <c r="A28" s="17" t="s">
        <v>19</v>
      </c>
      <c r="B28" s="33">
        <v>27</v>
      </c>
      <c r="C28" s="17" t="s">
        <v>381</v>
      </c>
      <c r="D28" s="18">
        <v>32.3</v>
      </c>
      <c r="E28" s="33">
        <v>1936</v>
      </c>
      <c r="F28" s="17" t="s">
        <v>889</v>
      </c>
      <c r="G28" s="17" t="s">
        <v>916</v>
      </c>
    </row>
    <row r="29" ht="20" customHeight="1" spans="1:7" x14ac:dyDescent="0.25">
      <c r="A29" s="35" t="s">
        <v>19</v>
      </c>
      <c r="B29" s="36">
        <v>28</v>
      </c>
      <c r="C29" s="35" t="s">
        <v>382</v>
      </c>
      <c r="D29" s="37">
        <v>44</v>
      </c>
      <c r="E29" s="36">
        <v>2641</v>
      </c>
      <c r="F29" s="35" t="s">
        <v>889</v>
      </c>
      <c r="G29" s="35" t="s">
        <v>917</v>
      </c>
    </row>
    <row r="30" ht="20" customHeight="1" spans="1:7" x14ac:dyDescent="0.25">
      <c r="A30" s="17" t="s">
        <v>19</v>
      </c>
      <c r="B30" s="33">
        <v>29</v>
      </c>
      <c r="C30" s="17" t="s">
        <v>406</v>
      </c>
      <c r="D30" s="18">
        <v>18.6</v>
      </c>
      <c r="E30" s="33">
        <v>1114</v>
      </c>
      <c r="F30" s="17" t="s">
        <v>889</v>
      </c>
      <c r="G30" s="17" t="s">
        <v>918</v>
      </c>
    </row>
    <row r="31" ht="20" customHeight="1" spans="1:7" x14ac:dyDescent="0.25">
      <c r="A31" s="35" t="s">
        <v>19</v>
      </c>
      <c r="B31" s="36">
        <v>30</v>
      </c>
      <c r="C31" s="35" t="s">
        <v>407</v>
      </c>
      <c r="D31" s="37">
        <v>23.1</v>
      </c>
      <c r="E31" s="36">
        <v>1388</v>
      </c>
      <c r="F31" s="35" t="s">
        <v>889</v>
      </c>
      <c r="G31" s="35" t="s">
        <v>919</v>
      </c>
    </row>
    <row r="32" ht="20" customHeight="1" spans="1:7" x14ac:dyDescent="0.25">
      <c r="A32" s="17" t="s">
        <v>19</v>
      </c>
      <c r="B32" s="33">
        <v>31</v>
      </c>
      <c r="C32" s="17" t="s">
        <v>431</v>
      </c>
      <c r="D32" s="18">
        <v>18.5</v>
      </c>
      <c r="E32" s="33">
        <v>1111</v>
      </c>
      <c r="F32" s="17" t="s">
        <v>889</v>
      </c>
      <c r="G32" s="17" t="s">
        <v>920</v>
      </c>
    </row>
    <row r="33" ht="20" customHeight="1" spans="1:7" x14ac:dyDescent="0.25">
      <c r="A33" s="35" t="s">
        <v>19</v>
      </c>
      <c r="B33" s="36">
        <v>32</v>
      </c>
      <c r="C33" s="35" t="s">
        <v>432</v>
      </c>
      <c r="D33" s="37">
        <v>19.7</v>
      </c>
      <c r="E33" s="36">
        <v>1182</v>
      </c>
      <c r="F33" s="35" t="s">
        <v>889</v>
      </c>
      <c r="G33" s="35" t="s">
        <v>921</v>
      </c>
    </row>
    <row r="34" ht="20" customHeight="1" spans="1:7" x14ac:dyDescent="0.25">
      <c r="A34" s="17" t="s">
        <v>19</v>
      </c>
      <c r="B34" s="33">
        <v>33</v>
      </c>
      <c r="C34" s="17" t="s">
        <v>457</v>
      </c>
      <c r="D34" s="18">
        <v>4.4</v>
      </c>
      <c r="E34" s="33">
        <v>266</v>
      </c>
      <c r="F34" s="17" t="s">
        <v>889</v>
      </c>
      <c r="G34" s="17" t="s">
        <v>922</v>
      </c>
    </row>
    <row r="35" ht="20" customHeight="1" spans="1:7" x14ac:dyDescent="0.25">
      <c r="A35" s="35" t="s">
        <v>19</v>
      </c>
      <c r="B35" s="36">
        <v>34</v>
      </c>
      <c r="C35" s="35" t="s">
        <v>458</v>
      </c>
      <c r="D35" s="37">
        <v>33.8</v>
      </c>
      <c r="E35" s="36">
        <v>2030</v>
      </c>
      <c r="F35" s="35" t="s">
        <v>889</v>
      </c>
      <c r="G35" s="35" t="s">
        <v>923</v>
      </c>
    </row>
    <row r="36" ht="20" customHeight="1" spans="1:7" x14ac:dyDescent="0.25">
      <c r="A36" s="17" t="s">
        <v>19</v>
      </c>
      <c r="B36" s="33">
        <v>35</v>
      </c>
      <c r="C36" s="17" t="s">
        <v>481</v>
      </c>
      <c r="D36" s="18">
        <v>14.6</v>
      </c>
      <c r="E36" s="33">
        <v>875</v>
      </c>
      <c r="F36" s="17" t="s">
        <v>889</v>
      </c>
      <c r="G36" s="17" t="s">
        <v>924</v>
      </c>
    </row>
    <row r="37" ht="20" customHeight="1" spans="1:7" x14ac:dyDescent="0.25">
      <c r="A37" s="35" t="s">
        <v>19</v>
      </c>
      <c r="B37" s="36">
        <v>36</v>
      </c>
      <c r="C37" s="35" t="s">
        <v>482</v>
      </c>
      <c r="D37" s="37">
        <v>20.5</v>
      </c>
      <c r="E37" s="36">
        <v>1230</v>
      </c>
      <c r="F37" s="35" t="s">
        <v>889</v>
      </c>
      <c r="G37" s="35" t="s">
        <v>925</v>
      </c>
    </row>
    <row r="38" ht="20" customHeight="1" spans="1:7" x14ac:dyDescent="0.25">
      <c r="A38" s="17" t="s">
        <v>19</v>
      </c>
      <c r="B38" s="33">
        <v>37</v>
      </c>
      <c r="C38" s="17" t="s">
        <v>504</v>
      </c>
      <c r="D38" s="18">
        <v>42.7</v>
      </c>
      <c r="E38" s="33">
        <v>2562</v>
      </c>
      <c r="F38" s="17" t="s">
        <v>889</v>
      </c>
      <c r="G38" s="17" t="s">
        <v>926</v>
      </c>
    </row>
    <row r="39" ht="20" customHeight="1" spans="1:7" x14ac:dyDescent="0.25">
      <c r="A39" s="35" t="s">
        <v>19</v>
      </c>
      <c r="B39" s="36">
        <v>38</v>
      </c>
      <c r="C39" s="35" t="s">
        <v>505</v>
      </c>
      <c r="D39" s="37">
        <v>30.3</v>
      </c>
      <c r="E39" s="36">
        <v>1816</v>
      </c>
      <c r="F39" s="35" t="s">
        <v>889</v>
      </c>
      <c r="G39" s="35" t="s">
        <v>927</v>
      </c>
    </row>
    <row r="40" ht="20" customHeight="1" spans="1:7" x14ac:dyDescent="0.25">
      <c r="A40" s="17" t="s">
        <v>19</v>
      </c>
      <c r="B40" s="33">
        <v>39</v>
      </c>
      <c r="C40" s="17" t="s">
        <v>527</v>
      </c>
      <c r="D40" s="18">
        <v>23.6</v>
      </c>
      <c r="E40" s="33">
        <v>1414</v>
      </c>
      <c r="F40" s="17" t="s">
        <v>889</v>
      </c>
      <c r="G40" s="17" t="s">
        <v>928</v>
      </c>
    </row>
    <row r="41" ht="20" customHeight="1" spans="1:7" x14ac:dyDescent="0.25">
      <c r="A41" s="35" t="s">
        <v>19</v>
      </c>
      <c r="B41" s="36">
        <v>40</v>
      </c>
      <c r="C41" s="35" t="s">
        <v>528</v>
      </c>
      <c r="D41" s="37">
        <v>12</v>
      </c>
      <c r="E41" s="36">
        <v>718</v>
      </c>
      <c r="F41" s="35" t="s">
        <v>889</v>
      </c>
      <c r="G41" s="35" t="s">
        <v>929</v>
      </c>
    </row>
    <row r="42" ht="20" customHeight="1" spans="1:7" x14ac:dyDescent="0.25">
      <c r="A42" s="17" t="s">
        <v>19</v>
      </c>
      <c r="B42" s="33">
        <v>41</v>
      </c>
      <c r="C42" s="17" t="s">
        <v>550</v>
      </c>
      <c r="D42" s="18">
        <v>10.7</v>
      </c>
      <c r="E42" s="33">
        <v>641</v>
      </c>
      <c r="F42" s="17" t="s">
        <v>889</v>
      </c>
      <c r="G42" s="17" t="s">
        <v>930</v>
      </c>
    </row>
    <row r="43" ht="20" customHeight="1" spans="1:7" x14ac:dyDescent="0.25">
      <c r="A43" s="35" t="s">
        <v>19</v>
      </c>
      <c r="B43" s="36">
        <v>42</v>
      </c>
      <c r="C43" s="35" t="s">
        <v>551</v>
      </c>
      <c r="D43" s="37">
        <v>7</v>
      </c>
      <c r="E43" s="36">
        <v>417</v>
      </c>
      <c r="F43" s="35" t="s">
        <v>889</v>
      </c>
      <c r="G43" s="35" t="s">
        <v>931</v>
      </c>
    </row>
    <row r="44" ht="20" customHeight="1" spans="1:7" x14ac:dyDescent="0.25">
      <c r="A44" s="17" t="s">
        <v>19</v>
      </c>
      <c r="B44" s="33">
        <v>43</v>
      </c>
      <c r="C44" s="17" t="s">
        <v>570</v>
      </c>
      <c r="D44" s="18">
        <v>25.8</v>
      </c>
      <c r="E44" s="33">
        <v>1545</v>
      </c>
      <c r="F44" s="17" t="s">
        <v>889</v>
      </c>
      <c r="G44" s="17" t="s">
        <v>932</v>
      </c>
    </row>
    <row r="45" ht="20" customHeight="1" spans="1:7" x14ac:dyDescent="0.25">
      <c r="A45" s="35" t="s">
        <v>19</v>
      </c>
      <c r="B45" s="36">
        <v>44</v>
      </c>
      <c r="C45" s="35" t="s">
        <v>571</v>
      </c>
      <c r="D45" s="37">
        <v>32.2</v>
      </c>
      <c r="E45" s="36">
        <v>1931</v>
      </c>
      <c r="F45" s="35" t="s">
        <v>889</v>
      </c>
      <c r="G45" s="35" t="s">
        <v>933</v>
      </c>
    </row>
    <row r="46" ht="20" customHeight="1" spans="1:7" x14ac:dyDescent="0.25">
      <c r="A46" s="17" t="s">
        <v>19</v>
      </c>
      <c r="B46" s="33">
        <v>45</v>
      </c>
      <c r="C46" s="17" t="s">
        <v>589</v>
      </c>
      <c r="D46" s="18">
        <v>8.2</v>
      </c>
      <c r="E46" s="33">
        <v>495</v>
      </c>
      <c r="F46" s="17" t="s">
        <v>889</v>
      </c>
      <c r="G46" s="17" t="s">
        <v>934</v>
      </c>
    </row>
    <row r="47" ht="20" customHeight="1" spans="1:7" x14ac:dyDescent="0.25">
      <c r="A47" s="35" t="s">
        <v>19</v>
      </c>
      <c r="B47" s="36">
        <v>46</v>
      </c>
      <c r="C47" s="35" t="s">
        <v>590</v>
      </c>
      <c r="D47" s="37">
        <v>12.1</v>
      </c>
      <c r="E47" s="36">
        <v>726</v>
      </c>
      <c r="F47" s="35" t="s">
        <v>889</v>
      </c>
      <c r="G47" s="35" t="s">
        <v>935</v>
      </c>
    </row>
    <row r="48" ht="20" customHeight="1" spans="1:7" x14ac:dyDescent="0.25">
      <c r="A48" s="17" t="s">
        <v>19</v>
      </c>
      <c r="B48" s="33">
        <v>47</v>
      </c>
      <c r="C48" s="17" t="s">
        <v>608</v>
      </c>
      <c r="D48" s="18">
        <v>4.6</v>
      </c>
      <c r="E48" s="33">
        <v>274</v>
      </c>
      <c r="F48" s="17" t="s">
        <v>889</v>
      </c>
      <c r="G48" s="17" t="s">
        <v>936</v>
      </c>
    </row>
    <row r="49" ht="20" customHeight="1" spans="1:7" x14ac:dyDescent="0.25">
      <c r="A49" s="35" t="s">
        <v>19</v>
      </c>
      <c r="B49" s="36">
        <v>48</v>
      </c>
      <c r="C49" s="35" t="s">
        <v>609</v>
      </c>
      <c r="D49" s="37">
        <v>21.5</v>
      </c>
      <c r="E49" s="36">
        <v>1291</v>
      </c>
      <c r="F49" s="35" t="s">
        <v>889</v>
      </c>
      <c r="G49" s="35" t="s">
        <v>937</v>
      </c>
    </row>
    <row r="50" ht="20" customHeight="1" spans="1:7" x14ac:dyDescent="0.25">
      <c r="A50" s="17" t="s">
        <v>19</v>
      </c>
      <c r="B50" s="33">
        <v>49</v>
      </c>
      <c r="C50" s="17" t="s">
        <v>627</v>
      </c>
      <c r="D50" s="18">
        <v>22.1</v>
      </c>
      <c r="E50" s="33">
        <v>1328</v>
      </c>
      <c r="F50" s="17" t="s">
        <v>889</v>
      </c>
      <c r="G50" s="17" t="s">
        <v>938</v>
      </c>
    </row>
    <row r="51" ht="20" customHeight="1" spans="1:7" x14ac:dyDescent="0.25">
      <c r="A51" s="35" t="s">
        <v>19</v>
      </c>
      <c r="B51" s="36">
        <v>50</v>
      </c>
      <c r="C51" s="35" t="s">
        <v>628</v>
      </c>
      <c r="D51" s="37">
        <v>12.5</v>
      </c>
      <c r="E51" s="36">
        <v>750</v>
      </c>
      <c r="F51" s="35" t="s">
        <v>889</v>
      </c>
      <c r="G51" s="35" t="s">
        <v>939</v>
      </c>
    </row>
    <row r="52" ht="20" customHeight="1" spans="1:7" x14ac:dyDescent="0.25">
      <c r="A52" s="17" t="s">
        <v>19</v>
      </c>
      <c r="B52" s="33">
        <v>51</v>
      </c>
      <c r="C52" s="17" t="s">
        <v>646</v>
      </c>
      <c r="D52" s="18">
        <v>11.8</v>
      </c>
      <c r="E52" s="33">
        <v>705</v>
      </c>
      <c r="F52" s="17" t="s">
        <v>889</v>
      </c>
      <c r="G52" s="17" t="s">
        <v>940</v>
      </c>
    </row>
    <row r="53" ht="20" customHeight="1" spans="1:7" x14ac:dyDescent="0.25">
      <c r="A53" s="35" t="s">
        <v>19</v>
      </c>
      <c r="B53" s="36">
        <v>52</v>
      </c>
      <c r="C53" s="35" t="s">
        <v>647</v>
      </c>
      <c r="D53" s="37">
        <v>4</v>
      </c>
      <c r="E53" s="36">
        <v>243</v>
      </c>
      <c r="F53" s="35" t="s">
        <v>889</v>
      </c>
      <c r="G53" s="35" t="s">
        <v>941</v>
      </c>
    </row>
    <row r="54" ht="20" customHeight="1" spans="1:7" x14ac:dyDescent="0.25">
      <c r="A54" s="17" t="s">
        <v>19</v>
      </c>
      <c r="B54" s="33">
        <v>53</v>
      </c>
      <c r="C54" s="17" t="s">
        <v>665</v>
      </c>
      <c r="D54" s="18">
        <v>17.3</v>
      </c>
      <c r="E54" s="33">
        <v>1040</v>
      </c>
      <c r="F54" s="17" t="s">
        <v>889</v>
      </c>
      <c r="G54" s="17" t="s">
        <v>942</v>
      </c>
    </row>
    <row r="55" ht="20" customHeight="1" spans="1:7" x14ac:dyDescent="0.25">
      <c r="A55" s="35" t="s">
        <v>19</v>
      </c>
      <c r="B55" s="36">
        <v>54</v>
      </c>
      <c r="C55" s="35" t="s">
        <v>666</v>
      </c>
      <c r="D55" s="37">
        <v>18.8</v>
      </c>
      <c r="E55" s="36">
        <v>1130</v>
      </c>
      <c r="F55" s="35" t="s">
        <v>889</v>
      </c>
      <c r="G55" s="35" t="s">
        <v>943</v>
      </c>
    </row>
    <row r="56" ht="20" customHeight="1" spans="1:7" x14ac:dyDescent="0.25">
      <c r="A56" s="17" t="s">
        <v>19</v>
      </c>
      <c r="B56" s="33">
        <v>55</v>
      </c>
      <c r="C56" s="17" t="s">
        <v>684</v>
      </c>
      <c r="D56" s="18">
        <v>29.1</v>
      </c>
      <c r="E56" s="33">
        <v>1743</v>
      </c>
      <c r="F56" s="17" t="s">
        <v>889</v>
      </c>
      <c r="G56" s="17" t="s">
        <v>944</v>
      </c>
    </row>
    <row r="57" ht="20" customHeight="1" spans="1:7" x14ac:dyDescent="0.25">
      <c r="A57" s="35" t="s">
        <v>19</v>
      </c>
      <c r="B57" s="36">
        <v>56</v>
      </c>
      <c r="C57" s="35" t="s">
        <v>685</v>
      </c>
      <c r="D57" s="37">
        <v>43.3</v>
      </c>
      <c r="E57" s="36">
        <v>2596</v>
      </c>
      <c r="F57" s="35" t="s">
        <v>889</v>
      </c>
      <c r="G57" s="35" t="s">
        <v>945</v>
      </c>
    </row>
    <row r="58" ht="20" customHeight="1" spans="1:7" x14ac:dyDescent="0.25">
      <c r="A58" s="17" t="s">
        <v>19</v>
      </c>
      <c r="B58" s="33">
        <v>57</v>
      </c>
      <c r="C58" s="17" t="s">
        <v>703</v>
      </c>
      <c r="D58" s="18">
        <v>19.3</v>
      </c>
      <c r="E58" s="33">
        <v>1156</v>
      </c>
      <c r="F58" s="17" t="s">
        <v>889</v>
      </c>
      <c r="G58" s="17" t="s">
        <v>946</v>
      </c>
    </row>
    <row r="59" ht="20" customHeight="1" spans="1:7" x14ac:dyDescent="0.25">
      <c r="A59" s="35" t="s">
        <v>19</v>
      </c>
      <c r="B59" s="36">
        <v>58</v>
      </c>
      <c r="C59" s="35" t="s">
        <v>704</v>
      </c>
      <c r="D59" s="37">
        <v>22.3</v>
      </c>
      <c r="E59" s="36">
        <v>1337</v>
      </c>
      <c r="F59" s="35" t="s">
        <v>889</v>
      </c>
      <c r="G59" s="35" t="s">
        <v>947</v>
      </c>
    </row>
    <row r="60" ht="20" customHeight="1" spans="1:7" x14ac:dyDescent="0.25">
      <c r="A60" s="17" t="s">
        <v>19</v>
      </c>
      <c r="B60" s="33">
        <v>59</v>
      </c>
      <c r="C60" s="17" t="s">
        <v>722</v>
      </c>
      <c r="D60" s="18">
        <v>18.4</v>
      </c>
      <c r="E60" s="33">
        <v>1106</v>
      </c>
      <c r="F60" s="17" t="s">
        <v>889</v>
      </c>
      <c r="G60" s="17" t="s">
        <v>948</v>
      </c>
    </row>
    <row r="61" ht="20" customHeight="1" spans="1:7" x14ac:dyDescent="0.25">
      <c r="A61" s="35" t="s">
        <v>19</v>
      </c>
      <c r="B61" s="36">
        <v>60</v>
      </c>
      <c r="C61" s="35" t="s">
        <v>723</v>
      </c>
      <c r="D61" s="37">
        <v>20.5</v>
      </c>
      <c r="E61" s="36">
        <v>1230</v>
      </c>
      <c r="F61" s="35" t="s">
        <v>889</v>
      </c>
      <c r="G61" s="35" t="s">
        <v>949</v>
      </c>
    </row>
    <row r="62" ht="20" customHeight="1" spans="1:7" x14ac:dyDescent="0.25">
      <c r="A62" s="17" t="s">
        <v>19</v>
      </c>
      <c r="B62" s="33">
        <v>61</v>
      </c>
      <c r="C62" s="17" t="s">
        <v>739</v>
      </c>
      <c r="D62" s="18">
        <v>20.6</v>
      </c>
      <c r="E62" s="33">
        <v>1233</v>
      </c>
      <c r="F62" s="17" t="s">
        <v>889</v>
      </c>
      <c r="G62" s="17" t="s">
        <v>950</v>
      </c>
    </row>
    <row r="63" ht="20" customHeight="1" spans="1:7" x14ac:dyDescent="0.25">
      <c r="A63" s="35" t="s">
        <v>19</v>
      </c>
      <c r="B63" s="36">
        <v>62</v>
      </c>
      <c r="C63" s="35" t="s">
        <v>740</v>
      </c>
      <c r="D63" s="37">
        <v>14.8</v>
      </c>
      <c r="E63" s="36">
        <v>890</v>
      </c>
      <c r="F63" s="35" t="s">
        <v>889</v>
      </c>
      <c r="G63" s="35" t="s">
        <v>951</v>
      </c>
    </row>
    <row r="64" ht="20" customHeight="1" spans="1:7" x14ac:dyDescent="0.25">
      <c r="A64" s="17" t="s">
        <v>19</v>
      </c>
      <c r="B64" s="33">
        <v>63</v>
      </c>
      <c r="C64" s="17" t="s">
        <v>752</v>
      </c>
      <c r="D64" s="18">
        <v>12.7</v>
      </c>
      <c r="E64" s="33">
        <v>759</v>
      </c>
      <c r="F64" s="17" t="s">
        <v>889</v>
      </c>
      <c r="G64" s="17" t="s">
        <v>952</v>
      </c>
    </row>
    <row r="65" ht="20" customHeight="1" spans="1:7" x14ac:dyDescent="0.25">
      <c r="A65" s="35" t="s">
        <v>19</v>
      </c>
      <c r="B65" s="36">
        <v>64</v>
      </c>
      <c r="C65" s="35" t="s">
        <v>753</v>
      </c>
      <c r="D65" s="37">
        <v>16.6</v>
      </c>
      <c r="E65" s="36">
        <v>996</v>
      </c>
      <c r="F65" s="35" t="s">
        <v>889</v>
      </c>
      <c r="G65" s="35" t="s">
        <v>953</v>
      </c>
    </row>
    <row r="66" ht="20" customHeight="1" spans="1:7" x14ac:dyDescent="0.25">
      <c r="A66" s="17" t="s">
        <v>19</v>
      </c>
      <c r="B66" s="33">
        <v>65</v>
      </c>
      <c r="C66" s="17" t="s">
        <v>765</v>
      </c>
      <c r="D66" s="18">
        <v>11.4</v>
      </c>
      <c r="E66" s="33">
        <v>682</v>
      </c>
      <c r="F66" s="17" t="s">
        <v>889</v>
      </c>
      <c r="G66" s="17" t="s">
        <v>954</v>
      </c>
    </row>
    <row r="67" ht="20" customHeight="1" spans="1:7" x14ac:dyDescent="0.25">
      <c r="A67" s="35" t="s">
        <v>19</v>
      </c>
      <c r="B67" s="36">
        <v>66</v>
      </c>
      <c r="C67" s="35" t="s">
        <v>766</v>
      </c>
      <c r="D67" s="37">
        <v>20.5</v>
      </c>
      <c r="E67" s="36">
        <v>1229</v>
      </c>
      <c r="F67" s="35" t="s">
        <v>889</v>
      </c>
      <c r="G67" s="35" t="s">
        <v>955</v>
      </c>
    </row>
    <row r="68" ht="20" customHeight="1" spans="1:7" x14ac:dyDescent="0.25">
      <c r="A68" s="17" t="s">
        <v>19</v>
      </c>
      <c r="B68" s="33">
        <v>67</v>
      </c>
      <c r="C68" s="17" t="s">
        <v>778</v>
      </c>
      <c r="D68" s="18">
        <v>16.7</v>
      </c>
      <c r="E68" s="33">
        <v>1003</v>
      </c>
      <c r="F68" s="17" t="s">
        <v>889</v>
      </c>
      <c r="G68" s="17" t="s">
        <v>956</v>
      </c>
    </row>
    <row r="69" ht="20" customHeight="1" spans="1:7" x14ac:dyDescent="0.25">
      <c r="A69" s="35" t="s">
        <v>19</v>
      </c>
      <c r="B69" s="36">
        <v>68</v>
      </c>
      <c r="C69" s="35" t="s">
        <v>779</v>
      </c>
      <c r="D69" s="37">
        <v>9.8</v>
      </c>
      <c r="E69" s="36">
        <v>586</v>
      </c>
      <c r="F69" s="35" t="s">
        <v>889</v>
      </c>
      <c r="G69" s="35" t="s">
        <v>957</v>
      </c>
    </row>
    <row r="70" ht="20" customHeight="1" spans="1:7" x14ac:dyDescent="0.25">
      <c r="A70" s="17" t="s">
        <v>19</v>
      </c>
      <c r="B70" s="33">
        <v>69</v>
      </c>
      <c r="C70" s="17" t="s">
        <v>791</v>
      </c>
      <c r="D70" s="18">
        <v>21.9</v>
      </c>
      <c r="E70" s="33">
        <v>1317</v>
      </c>
      <c r="F70" s="17" t="s">
        <v>889</v>
      </c>
      <c r="G70" s="17" t="s">
        <v>958</v>
      </c>
    </row>
    <row r="71" ht="20" customHeight="1" spans="1:7" x14ac:dyDescent="0.25">
      <c r="A71" s="35" t="s">
        <v>19</v>
      </c>
      <c r="B71" s="36">
        <v>70</v>
      </c>
      <c r="C71" s="35" t="s">
        <v>792</v>
      </c>
      <c r="D71" s="37">
        <v>20.6</v>
      </c>
      <c r="E71" s="36">
        <v>1235</v>
      </c>
      <c r="F71" s="35" t="s">
        <v>889</v>
      </c>
      <c r="G71" s="35" t="s">
        <v>959</v>
      </c>
    </row>
    <row r="72" ht="20" customHeight="1" spans="1:7" x14ac:dyDescent="0.25">
      <c r="A72" s="17" t="s">
        <v>19</v>
      </c>
      <c r="B72" s="33">
        <v>71</v>
      </c>
      <c r="C72" s="17" t="s">
        <v>804</v>
      </c>
      <c r="D72" s="18">
        <v>13</v>
      </c>
      <c r="E72" s="33">
        <v>782</v>
      </c>
      <c r="F72" s="17" t="s">
        <v>889</v>
      </c>
      <c r="G72" s="17" t="s">
        <v>960</v>
      </c>
    </row>
    <row r="73" ht="20" customHeight="1" spans="1:7" x14ac:dyDescent="0.25">
      <c r="A73" s="35" t="s">
        <v>47</v>
      </c>
      <c r="B73" s="36">
        <v>1</v>
      </c>
      <c r="C73" s="35" t="s">
        <v>48</v>
      </c>
      <c r="D73" s="37">
        <v>30.4</v>
      </c>
      <c r="E73" s="36">
        <v>1822</v>
      </c>
      <c r="F73" s="35" t="s">
        <v>961</v>
      </c>
      <c r="G73" s="35" t="s">
        <v>962</v>
      </c>
    </row>
    <row r="74" ht="20" customHeight="1" spans="1:7" x14ac:dyDescent="0.25">
      <c r="A74" s="17" t="s">
        <v>47</v>
      </c>
      <c r="B74" s="33">
        <v>2</v>
      </c>
      <c r="C74" s="17" t="s">
        <v>50</v>
      </c>
      <c r="D74" s="18">
        <v>30.2</v>
      </c>
      <c r="E74" s="33">
        <v>1810</v>
      </c>
      <c r="F74" s="17" t="s">
        <v>961</v>
      </c>
      <c r="G74" s="17" t="s">
        <v>963</v>
      </c>
    </row>
    <row r="75" ht="20" customHeight="1" spans="1:7" x14ac:dyDescent="0.25">
      <c r="A75" s="35" t="s">
        <v>47</v>
      </c>
      <c r="B75" s="36">
        <v>3</v>
      </c>
      <c r="C75" s="35" t="s">
        <v>75</v>
      </c>
      <c r="D75" s="37">
        <v>28.1</v>
      </c>
      <c r="E75" s="36">
        <v>1689</v>
      </c>
      <c r="F75" s="35" t="s">
        <v>961</v>
      </c>
      <c r="G75" s="35" t="s">
        <v>964</v>
      </c>
    </row>
    <row r="76" ht="20" customHeight="1" spans="1:7" x14ac:dyDescent="0.25">
      <c r="A76" s="17" t="s">
        <v>47</v>
      </c>
      <c r="B76" s="33">
        <v>4</v>
      </c>
      <c r="C76" s="17" t="s">
        <v>76</v>
      </c>
      <c r="D76" s="18">
        <v>33.1</v>
      </c>
      <c r="E76" s="33">
        <v>1985</v>
      </c>
      <c r="F76" s="17" t="s">
        <v>961</v>
      </c>
      <c r="G76" s="17" t="s">
        <v>965</v>
      </c>
    </row>
    <row r="77" ht="20" customHeight="1" spans="1:7" x14ac:dyDescent="0.25">
      <c r="A77" s="35" t="s">
        <v>47</v>
      </c>
      <c r="B77" s="36">
        <v>5</v>
      </c>
      <c r="C77" s="35" t="s">
        <v>87</v>
      </c>
      <c r="D77" s="37">
        <v>27.5</v>
      </c>
      <c r="E77" s="36">
        <v>1652</v>
      </c>
      <c r="F77" s="35" t="s">
        <v>961</v>
      </c>
      <c r="G77" s="35" t="s">
        <v>966</v>
      </c>
    </row>
    <row r="78" ht="20" customHeight="1" spans="1:7" x14ac:dyDescent="0.25">
      <c r="A78" s="17" t="s">
        <v>47</v>
      </c>
      <c r="B78" s="33">
        <v>6</v>
      </c>
      <c r="C78" s="17" t="s">
        <v>88</v>
      </c>
      <c r="D78" s="18">
        <v>44</v>
      </c>
      <c r="E78" s="33">
        <v>2638</v>
      </c>
      <c r="F78" s="17" t="s">
        <v>961</v>
      </c>
      <c r="G78" s="17" t="s">
        <v>967</v>
      </c>
    </row>
    <row r="79" ht="20" customHeight="1" spans="1:7" x14ac:dyDescent="0.25">
      <c r="A79" s="35" t="s">
        <v>47</v>
      </c>
      <c r="B79" s="36">
        <v>7</v>
      </c>
      <c r="C79" s="35" t="s">
        <v>101</v>
      </c>
      <c r="D79" s="37">
        <v>24.2</v>
      </c>
      <c r="E79" s="36">
        <v>1450</v>
      </c>
      <c r="F79" s="35" t="s">
        <v>961</v>
      </c>
      <c r="G79" s="35" t="s">
        <v>968</v>
      </c>
    </row>
    <row r="80" ht="20" customHeight="1" spans="1:7" x14ac:dyDescent="0.25">
      <c r="A80" s="17" t="s">
        <v>47</v>
      </c>
      <c r="B80" s="33">
        <v>8</v>
      </c>
      <c r="C80" s="17" t="s">
        <v>102</v>
      </c>
      <c r="D80" s="18">
        <v>19.8</v>
      </c>
      <c r="E80" s="33">
        <v>1190</v>
      </c>
      <c r="F80" s="17" t="s">
        <v>961</v>
      </c>
      <c r="G80" s="17" t="s">
        <v>969</v>
      </c>
    </row>
    <row r="81" ht="20" customHeight="1" spans="1:7" x14ac:dyDescent="0.25">
      <c r="A81" s="35" t="s">
        <v>47</v>
      </c>
      <c r="B81" s="36">
        <v>9</v>
      </c>
      <c r="C81" s="35" t="s">
        <v>112</v>
      </c>
      <c r="D81" s="37">
        <v>40.8</v>
      </c>
      <c r="E81" s="36">
        <v>2449</v>
      </c>
      <c r="F81" s="35" t="s">
        <v>961</v>
      </c>
      <c r="G81" s="35" t="s">
        <v>970</v>
      </c>
    </row>
    <row r="82" ht="20" customHeight="1" spans="1:7" x14ac:dyDescent="0.25">
      <c r="A82" s="17" t="s">
        <v>47</v>
      </c>
      <c r="B82" s="33">
        <v>10</v>
      </c>
      <c r="C82" s="17" t="s">
        <v>113</v>
      </c>
      <c r="D82" s="18">
        <v>30.9</v>
      </c>
      <c r="E82" s="33">
        <v>1852</v>
      </c>
      <c r="F82" s="17" t="s">
        <v>961</v>
      </c>
      <c r="G82" s="17" t="s">
        <v>971</v>
      </c>
    </row>
    <row r="83" ht="20" customHeight="1" spans="1:7" x14ac:dyDescent="0.25">
      <c r="A83" s="35" t="s">
        <v>47</v>
      </c>
      <c r="B83" s="36">
        <v>11</v>
      </c>
      <c r="C83" s="35" t="s">
        <v>126</v>
      </c>
      <c r="D83" s="37">
        <v>25.4</v>
      </c>
      <c r="E83" s="36">
        <v>1525</v>
      </c>
      <c r="F83" s="35" t="s">
        <v>961</v>
      </c>
      <c r="G83" s="35" t="s">
        <v>972</v>
      </c>
    </row>
    <row r="84" ht="20" customHeight="1" spans="1:7" x14ac:dyDescent="0.25">
      <c r="A84" s="17" t="s">
        <v>47</v>
      </c>
      <c r="B84" s="33">
        <v>12</v>
      </c>
      <c r="C84" s="17" t="s">
        <v>127</v>
      </c>
      <c r="D84" s="18">
        <v>44.4</v>
      </c>
      <c r="E84" s="33">
        <v>2662</v>
      </c>
      <c r="F84" s="17" t="s">
        <v>961</v>
      </c>
      <c r="G84" s="17" t="s">
        <v>973</v>
      </c>
    </row>
    <row r="85" ht="20" customHeight="1" spans="1:7" x14ac:dyDescent="0.25">
      <c r="A85" s="35" t="s">
        <v>47</v>
      </c>
      <c r="B85" s="36">
        <v>13</v>
      </c>
      <c r="C85" s="35" t="s">
        <v>137</v>
      </c>
      <c r="D85" s="37">
        <v>19.7</v>
      </c>
      <c r="E85" s="36">
        <v>1180</v>
      </c>
      <c r="F85" s="35" t="s">
        <v>961</v>
      </c>
      <c r="G85" s="35" t="s">
        <v>974</v>
      </c>
    </row>
    <row r="86" ht="20" customHeight="1" spans="1:7" x14ac:dyDescent="0.25">
      <c r="A86" s="17" t="s">
        <v>47</v>
      </c>
      <c r="B86" s="33">
        <v>14</v>
      </c>
      <c r="C86" s="17" t="s">
        <v>138</v>
      </c>
      <c r="D86" s="18">
        <v>29.9</v>
      </c>
      <c r="E86" s="33">
        <v>1794</v>
      </c>
      <c r="F86" s="17" t="s">
        <v>961</v>
      </c>
      <c r="G86" s="17" t="s">
        <v>975</v>
      </c>
    </row>
    <row r="87" ht="20" customHeight="1" spans="1:7" x14ac:dyDescent="0.25">
      <c r="A87" s="35" t="s">
        <v>47</v>
      </c>
      <c r="B87" s="36">
        <v>15</v>
      </c>
      <c r="C87" s="35" t="s">
        <v>151</v>
      </c>
      <c r="D87" s="37">
        <v>35.3</v>
      </c>
      <c r="E87" s="36">
        <v>2119</v>
      </c>
      <c r="F87" s="35" t="s">
        <v>961</v>
      </c>
      <c r="G87" s="35" t="s">
        <v>976</v>
      </c>
    </row>
    <row r="88" ht="20" customHeight="1" spans="1:7" x14ac:dyDescent="0.25">
      <c r="A88" s="17" t="s">
        <v>47</v>
      </c>
      <c r="B88" s="33">
        <v>16</v>
      </c>
      <c r="C88" s="17" t="s">
        <v>152</v>
      </c>
      <c r="D88" s="18">
        <v>35.4</v>
      </c>
      <c r="E88" s="33">
        <v>2122</v>
      </c>
      <c r="F88" s="17" t="s">
        <v>961</v>
      </c>
      <c r="G88" s="17" t="s">
        <v>977</v>
      </c>
    </row>
    <row r="89" ht="20" customHeight="1" spans="1:7" x14ac:dyDescent="0.25">
      <c r="A89" s="35" t="s">
        <v>47</v>
      </c>
      <c r="B89" s="36">
        <v>17</v>
      </c>
      <c r="C89" s="35" t="s">
        <v>162</v>
      </c>
      <c r="D89" s="37">
        <v>30</v>
      </c>
      <c r="E89" s="36">
        <v>1800</v>
      </c>
      <c r="F89" s="35" t="s">
        <v>961</v>
      </c>
      <c r="G89" s="35" t="s">
        <v>978</v>
      </c>
    </row>
    <row r="90" ht="20" customHeight="1" spans="1:7" x14ac:dyDescent="0.25">
      <c r="A90" s="17" t="s">
        <v>47</v>
      </c>
      <c r="B90" s="33">
        <v>18</v>
      </c>
      <c r="C90" s="17" t="s">
        <v>163</v>
      </c>
      <c r="D90" s="18">
        <v>33</v>
      </c>
      <c r="E90" s="33">
        <v>1982</v>
      </c>
      <c r="F90" s="17" t="s">
        <v>961</v>
      </c>
      <c r="G90" s="17" t="s">
        <v>979</v>
      </c>
    </row>
    <row r="91" ht="20" customHeight="1" spans="1:7" x14ac:dyDescent="0.25">
      <c r="A91" s="35" t="s">
        <v>47</v>
      </c>
      <c r="B91" s="36">
        <v>19</v>
      </c>
      <c r="C91" s="35" t="s">
        <v>176</v>
      </c>
      <c r="D91" s="37">
        <v>26.1</v>
      </c>
      <c r="E91" s="36">
        <v>1566</v>
      </c>
      <c r="F91" s="35" t="s">
        <v>961</v>
      </c>
      <c r="G91" s="35" t="s">
        <v>980</v>
      </c>
    </row>
    <row r="92" ht="20" customHeight="1" spans="1:7" x14ac:dyDescent="0.25">
      <c r="A92" s="17" t="s">
        <v>47</v>
      </c>
      <c r="B92" s="33">
        <v>20</v>
      </c>
      <c r="C92" s="17" t="s">
        <v>177</v>
      </c>
      <c r="D92" s="18">
        <v>31.9</v>
      </c>
      <c r="E92" s="33">
        <v>1912</v>
      </c>
      <c r="F92" s="17" t="s">
        <v>961</v>
      </c>
      <c r="G92" s="17" t="s">
        <v>981</v>
      </c>
    </row>
    <row r="93" ht="20" customHeight="1" spans="1:7" x14ac:dyDescent="0.25">
      <c r="A93" s="35" t="s">
        <v>47</v>
      </c>
      <c r="B93" s="36">
        <v>21</v>
      </c>
      <c r="C93" s="35" t="s">
        <v>187</v>
      </c>
      <c r="D93" s="37">
        <v>30</v>
      </c>
      <c r="E93" s="36">
        <v>1799</v>
      </c>
      <c r="F93" s="35" t="s">
        <v>961</v>
      </c>
      <c r="G93" s="35" t="s">
        <v>982</v>
      </c>
    </row>
    <row r="94" ht="20" customHeight="1" spans="1:7" x14ac:dyDescent="0.25">
      <c r="A94" s="17" t="s">
        <v>47</v>
      </c>
      <c r="B94" s="33">
        <v>22</v>
      </c>
      <c r="C94" s="17" t="s">
        <v>188</v>
      </c>
      <c r="D94" s="18">
        <v>33.5</v>
      </c>
      <c r="E94" s="33">
        <v>2013</v>
      </c>
      <c r="F94" s="17" t="s">
        <v>961</v>
      </c>
      <c r="G94" s="17" t="s">
        <v>983</v>
      </c>
    </row>
    <row r="95" ht="20" customHeight="1" spans="1:7" x14ac:dyDescent="0.25">
      <c r="A95" s="35" t="s">
        <v>47</v>
      </c>
      <c r="B95" s="36">
        <v>23</v>
      </c>
      <c r="C95" s="35" t="s">
        <v>201</v>
      </c>
      <c r="D95" s="37">
        <v>27.2</v>
      </c>
      <c r="E95" s="36">
        <v>1631</v>
      </c>
      <c r="F95" s="35" t="s">
        <v>961</v>
      </c>
      <c r="G95" s="35" t="s">
        <v>984</v>
      </c>
    </row>
    <row r="96" ht="20" customHeight="1" spans="1:7" x14ac:dyDescent="0.25">
      <c r="A96" s="17" t="s">
        <v>47</v>
      </c>
      <c r="B96" s="33">
        <v>24</v>
      </c>
      <c r="C96" s="17" t="s">
        <v>202</v>
      </c>
      <c r="D96" s="18">
        <v>21</v>
      </c>
      <c r="E96" s="33">
        <v>1258</v>
      </c>
      <c r="F96" s="17" t="s">
        <v>961</v>
      </c>
      <c r="G96" s="17" t="s">
        <v>985</v>
      </c>
    </row>
    <row r="97" ht="20" customHeight="1" spans="1:7" x14ac:dyDescent="0.25">
      <c r="A97" s="35" t="s">
        <v>47</v>
      </c>
      <c r="B97" s="36">
        <v>25</v>
      </c>
      <c r="C97" s="35" t="s">
        <v>212</v>
      </c>
      <c r="D97" s="37">
        <v>35.5</v>
      </c>
      <c r="E97" s="36">
        <v>2129</v>
      </c>
      <c r="F97" s="35" t="s">
        <v>961</v>
      </c>
      <c r="G97" s="35" t="s">
        <v>986</v>
      </c>
    </row>
    <row r="98" ht="20" customHeight="1" spans="1:7" x14ac:dyDescent="0.25">
      <c r="A98" s="17" t="s">
        <v>47</v>
      </c>
      <c r="B98" s="33">
        <v>26</v>
      </c>
      <c r="C98" s="17" t="s">
        <v>213</v>
      </c>
      <c r="D98" s="18">
        <v>41.1</v>
      </c>
      <c r="E98" s="33">
        <v>2467</v>
      </c>
      <c r="F98" s="17" t="s">
        <v>961</v>
      </c>
      <c r="G98" s="17" t="s">
        <v>987</v>
      </c>
    </row>
    <row r="99" ht="20" customHeight="1" spans="1:7" x14ac:dyDescent="0.25">
      <c r="A99" s="35" t="s">
        <v>47</v>
      </c>
      <c r="B99" s="36">
        <v>27</v>
      </c>
      <c r="C99" s="35" t="s">
        <v>226</v>
      </c>
      <c r="D99" s="37">
        <v>38.9</v>
      </c>
      <c r="E99" s="36">
        <v>2333</v>
      </c>
      <c r="F99" s="35" t="s">
        <v>961</v>
      </c>
      <c r="G99" s="35" t="s">
        <v>988</v>
      </c>
    </row>
    <row r="100" ht="20" customHeight="1" spans="1:7" x14ac:dyDescent="0.25">
      <c r="A100" s="17" t="s">
        <v>47</v>
      </c>
      <c r="B100" s="33">
        <v>28</v>
      </c>
      <c r="C100" s="17" t="s">
        <v>227</v>
      </c>
      <c r="D100" s="18">
        <v>29.9</v>
      </c>
      <c r="E100" s="33">
        <v>1796</v>
      </c>
      <c r="F100" s="17" t="s">
        <v>961</v>
      </c>
      <c r="G100" s="17" t="s">
        <v>989</v>
      </c>
    </row>
    <row r="101" ht="20" customHeight="1" spans="1:7" x14ac:dyDescent="0.25">
      <c r="A101" s="35" t="s">
        <v>47</v>
      </c>
      <c r="B101" s="36">
        <v>29</v>
      </c>
      <c r="C101" s="35" t="s">
        <v>237</v>
      </c>
      <c r="D101" s="37">
        <v>31.5</v>
      </c>
      <c r="E101" s="36">
        <v>1892</v>
      </c>
      <c r="F101" s="35" t="s">
        <v>961</v>
      </c>
      <c r="G101" s="35" t="s">
        <v>990</v>
      </c>
    </row>
    <row r="102" ht="20" customHeight="1" spans="1:7" x14ac:dyDescent="0.25">
      <c r="A102" s="17" t="s">
        <v>47</v>
      </c>
      <c r="B102" s="33">
        <v>30</v>
      </c>
      <c r="C102" s="17" t="s">
        <v>238</v>
      </c>
      <c r="D102" s="18">
        <v>40.1</v>
      </c>
      <c r="E102" s="33">
        <v>2409</v>
      </c>
      <c r="F102" s="17" t="s">
        <v>961</v>
      </c>
      <c r="G102" s="17" t="s">
        <v>991</v>
      </c>
    </row>
    <row r="103" ht="20" customHeight="1" spans="1:7" x14ac:dyDescent="0.25">
      <c r="A103" s="35" t="s">
        <v>47</v>
      </c>
      <c r="B103" s="36">
        <v>31</v>
      </c>
      <c r="C103" s="35" t="s">
        <v>251</v>
      </c>
      <c r="D103" s="37">
        <v>42.3</v>
      </c>
      <c r="E103" s="36">
        <v>2538</v>
      </c>
      <c r="F103" s="35" t="s">
        <v>961</v>
      </c>
      <c r="G103" s="35" t="s">
        <v>992</v>
      </c>
    </row>
    <row r="104" ht="20" customHeight="1" spans="1:7" x14ac:dyDescent="0.25">
      <c r="A104" s="17" t="s">
        <v>47</v>
      </c>
      <c r="B104" s="33">
        <v>32</v>
      </c>
      <c r="C104" s="17" t="s">
        <v>252</v>
      </c>
      <c r="D104" s="18">
        <v>22.5</v>
      </c>
      <c r="E104" s="33">
        <v>1351</v>
      </c>
      <c r="F104" s="17" t="s">
        <v>961</v>
      </c>
      <c r="G104" s="17" t="s">
        <v>993</v>
      </c>
    </row>
    <row r="105" ht="20" customHeight="1" spans="1:7" x14ac:dyDescent="0.25">
      <c r="A105" s="35" t="s">
        <v>47</v>
      </c>
      <c r="B105" s="36">
        <v>33</v>
      </c>
      <c r="C105" s="35" t="s">
        <v>262</v>
      </c>
      <c r="D105" s="37">
        <v>30.4</v>
      </c>
      <c r="E105" s="36">
        <v>1821</v>
      </c>
      <c r="F105" s="35" t="s">
        <v>961</v>
      </c>
      <c r="G105" s="35" t="s">
        <v>994</v>
      </c>
    </row>
    <row r="106" ht="20" customHeight="1" spans="1:7" x14ac:dyDescent="0.25">
      <c r="A106" s="17" t="s">
        <v>47</v>
      </c>
      <c r="B106" s="33">
        <v>34</v>
      </c>
      <c r="C106" s="17" t="s">
        <v>263</v>
      </c>
      <c r="D106" s="18">
        <v>27.8</v>
      </c>
      <c r="E106" s="33">
        <v>1670</v>
      </c>
      <c r="F106" s="17" t="s">
        <v>961</v>
      </c>
      <c r="G106" s="17" t="s">
        <v>995</v>
      </c>
    </row>
    <row r="107" ht="20" customHeight="1" spans="1:7" x14ac:dyDescent="0.25">
      <c r="A107" s="35" t="s">
        <v>47</v>
      </c>
      <c r="B107" s="36">
        <v>35</v>
      </c>
      <c r="C107" s="35" t="s">
        <v>276</v>
      </c>
      <c r="D107" s="37">
        <v>42.8</v>
      </c>
      <c r="E107" s="36">
        <v>2568</v>
      </c>
      <c r="F107" s="35" t="s">
        <v>961</v>
      </c>
      <c r="G107" s="35" t="s">
        <v>996</v>
      </c>
    </row>
    <row r="108" ht="20" customHeight="1" spans="1:7" x14ac:dyDescent="0.25">
      <c r="A108" s="17" t="s">
        <v>47</v>
      </c>
      <c r="B108" s="33">
        <v>36</v>
      </c>
      <c r="C108" s="17" t="s">
        <v>277</v>
      </c>
      <c r="D108" s="18">
        <v>29.6</v>
      </c>
      <c r="E108" s="33">
        <v>1775</v>
      </c>
      <c r="F108" s="17" t="s">
        <v>961</v>
      </c>
      <c r="G108" s="17" t="s">
        <v>997</v>
      </c>
    </row>
    <row r="109" ht="20" customHeight="1" spans="1:7" x14ac:dyDescent="0.25">
      <c r="A109" s="35" t="s">
        <v>47</v>
      </c>
      <c r="B109" s="36">
        <v>37</v>
      </c>
      <c r="C109" s="35" t="s">
        <v>287</v>
      </c>
      <c r="D109" s="37">
        <v>35.5</v>
      </c>
      <c r="E109" s="36">
        <v>2128</v>
      </c>
      <c r="F109" s="35" t="s">
        <v>961</v>
      </c>
      <c r="G109" s="35" t="s">
        <v>998</v>
      </c>
    </row>
    <row r="110" ht="20" customHeight="1" spans="1:7" x14ac:dyDescent="0.25">
      <c r="A110" s="17" t="s">
        <v>47</v>
      </c>
      <c r="B110" s="33">
        <v>38</v>
      </c>
      <c r="C110" s="17" t="s">
        <v>288</v>
      </c>
      <c r="D110" s="18">
        <v>17.3</v>
      </c>
      <c r="E110" s="33">
        <v>1039</v>
      </c>
      <c r="F110" s="17" t="s">
        <v>961</v>
      </c>
      <c r="G110" s="17" t="s">
        <v>999</v>
      </c>
    </row>
    <row r="111" ht="20" customHeight="1" spans="1:7" x14ac:dyDescent="0.25">
      <c r="A111" s="35" t="s">
        <v>47</v>
      </c>
      <c r="B111" s="36">
        <v>39</v>
      </c>
      <c r="C111" s="35" t="s">
        <v>301</v>
      </c>
      <c r="D111" s="37">
        <v>22.9</v>
      </c>
      <c r="E111" s="36">
        <v>1375</v>
      </c>
      <c r="F111" s="35" t="s">
        <v>961</v>
      </c>
      <c r="G111" s="35" t="s">
        <v>1000</v>
      </c>
    </row>
    <row r="112" ht="20" customHeight="1" spans="1:7" x14ac:dyDescent="0.25">
      <c r="A112" s="17" t="s">
        <v>47</v>
      </c>
      <c r="B112" s="33">
        <v>40</v>
      </c>
      <c r="C112" s="17" t="s">
        <v>302</v>
      </c>
      <c r="D112" s="18">
        <v>49.2</v>
      </c>
      <c r="E112" s="33">
        <v>2951</v>
      </c>
      <c r="F112" s="17" t="s">
        <v>961</v>
      </c>
      <c r="G112" s="17" t="s">
        <v>1001</v>
      </c>
    </row>
    <row r="113" ht="20" customHeight="1" spans="1:7" x14ac:dyDescent="0.25">
      <c r="A113" s="35" t="s">
        <v>47</v>
      </c>
      <c r="B113" s="36">
        <v>41</v>
      </c>
      <c r="C113" s="35" t="s">
        <v>312</v>
      </c>
      <c r="D113" s="37">
        <v>67.8</v>
      </c>
      <c r="E113" s="36">
        <v>4066</v>
      </c>
      <c r="F113" s="35" t="s">
        <v>961</v>
      </c>
      <c r="G113" s="35" t="s">
        <v>1002</v>
      </c>
    </row>
    <row r="114" ht="20" customHeight="1" spans="1:7" x14ac:dyDescent="0.25">
      <c r="A114" s="17" t="s">
        <v>47</v>
      </c>
      <c r="B114" s="33">
        <v>42</v>
      </c>
      <c r="C114" s="17" t="s">
        <v>313</v>
      </c>
      <c r="D114" s="18">
        <v>64.8</v>
      </c>
      <c r="E114" s="33">
        <v>3891</v>
      </c>
      <c r="F114" s="17" t="s">
        <v>961</v>
      </c>
      <c r="G114" s="17" t="s">
        <v>1003</v>
      </c>
    </row>
    <row r="115" ht="20" customHeight="1" spans="1:7" x14ac:dyDescent="0.25">
      <c r="A115" s="35" t="s">
        <v>47</v>
      </c>
      <c r="B115" s="36">
        <v>43</v>
      </c>
      <c r="C115" s="35" t="s">
        <v>326</v>
      </c>
      <c r="D115" s="37">
        <v>59.6</v>
      </c>
      <c r="E115" s="36">
        <v>3577</v>
      </c>
      <c r="F115" s="35" t="s">
        <v>961</v>
      </c>
      <c r="G115" s="35" t="s">
        <v>1004</v>
      </c>
    </row>
    <row r="116" ht="20" customHeight="1" spans="1:7" x14ac:dyDescent="0.25">
      <c r="A116" s="17" t="s">
        <v>47</v>
      </c>
      <c r="B116" s="33">
        <v>44</v>
      </c>
      <c r="C116" s="17" t="s">
        <v>327</v>
      </c>
      <c r="D116" s="18">
        <v>53</v>
      </c>
      <c r="E116" s="33">
        <v>3182</v>
      </c>
      <c r="F116" s="17" t="s">
        <v>961</v>
      </c>
      <c r="G116" s="17" t="s">
        <v>1005</v>
      </c>
    </row>
    <row r="117" ht="20" customHeight="1" spans="1:7" x14ac:dyDescent="0.25">
      <c r="A117" s="35" t="s">
        <v>47</v>
      </c>
      <c r="B117" s="36">
        <v>45</v>
      </c>
      <c r="C117" s="35" t="s">
        <v>337</v>
      </c>
      <c r="D117" s="37">
        <v>57</v>
      </c>
      <c r="E117" s="36">
        <v>3419</v>
      </c>
      <c r="F117" s="35" t="s">
        <v>961</v>
      </c>
      <c r="G117" s="35" t="s">
        <v>1006</v>
      </c>
    </row>
    <row r="118" ht="20" customHeight="1" spans="1:7" x14ac:dyDescent="0.25">
      <c r="A118" s="17" t="s">
        <v>47</v>
      </c>
      <c r="B118" s="33">
        <v>46</v>
      </c>
      <c r="C118" s="17" t="s">
        <v>338</v>
      </c>
      <c r="D118" s="18">
        <v>33</v>
      </c>
      <c r="E118" s="33">
        <v>1982</v>
      </c>
      <c r="F118" s="17" t="s">
        <v>961</v>
      </c>
      <c r="G118" s="17" t="s">
        <v>1007</v>
      </c>
    </row>
    <row r="119" ht="20" customHeight="1" spans="1:7" x14ac:dyDescent="0.25">
      <c r="A119" s="35" t="s">
        <v>47</v>
      </c>
      <c r="B119" s="36">
        <v>47</v>
      </c>
      <c r="C119" s="35" t="s">
        <v>351</v>
      </c>
      <c r="D119" s="37">
        <v>32.6</v>
      </c>
      <c r="E119" s="36">
        <v>1957</v>
      </c>
      <c r="F119" s="35" t="s">
        <v>961</v>
      </c>
      <c r="G119" s="35" t="s">
        <v>1008</v>
      </c>
    </row>
    <row r="120" ht="20" customHeight="1" spans="1:7" x14ac:dyDescent="0.25">
      <c r="A120" s="17" t="s">
        <v>47</v>
      </c>
      <c r="B120" s="33">
        <v>48</v>
      </c>
      <c r="C120" s="17" t="s">
        <v>352</v>
      </c>
      <c r="D120" s="18">
        <v>38.2</v>
      </c>
      <c r="E120" s="33">
        <v>2294</v>
      </c>
      <c r="F120" s="17" t="s">
        <v>961</v>
      </c>
      <c r="G120" s="17" t="s">
        <v>1009</v>
      </c>
    </row>
    <row r="121" ht="20" customHeight="1" spans="1:7" x14ac:dyDescent="0.25">
      <c r="A121" s="35" t="s">
        <v>47</v>
      </c>
      <c r="B121" s="36">
        <v>49</v>
      </c>
      <c r="C121" s="35" t="s">
        <v>362</v>
      </c>
      <c r="D121" s="37">
        <v>34.9</v>
      </c>
      <c r="E121" s="36">
        <v>2091</v>
      </c>
      <c r="F121" s="35" t="s">
        <v>961</v>
      </c>
      <c r="G121" s="35" t="s">
        <v>1010</v>
      </c>
    </row>
    <row r="122" ht="20" customHeight="1" spans="1:7" x14ac:dyDescent="0.25">
      <c r="A122" s="17" t="s">
        <v>47</v>
      </c>
      <c r="B122" s="33">
        <v>50</v>
      </c>
      <c r="C122" s="17" t="s">
        <v>363</v>
      </c>
      <c r="D122" s="18">
        <v>30.1</v>
      </c>
      <c r="E122" s="33">
        <v>1804</v>
      </c>
      <c r="F122" s="17" t="s">
        <v>961</v>
      </c>
      <c r="G122" s="17" t="s">
        <v>1011</v>
      </c>
    </row>
    <row r="123" ht="20" customHeight="1" spans="1:7" x14ac:dyDescent="0.25">
      <c r="A123" s="35" t="s">
        <v>47</v>
      </c>
      <c r="B123" s="36">
        <v>51</v>
      </c>
      <c r="C123" s="35" t="s">
        <v>376</v>
      </c>
      <c r="D123" s="37">
        <v>47.6</v>
      </c>
      <c r="E123" s="36">
        <v>2859</v>
      </c>
      <c r="F123" s="35" t="s">
        <v>961</v>
      </c>
      <c r="G123" s="35" t="s">
        <v>1012</v>
      </c>
    </row>
    <row r="124" ht="20" customHeight="1" spans="1:7" x14ac:dyDescent="0.25">
      <c r="A124" s="17" t="s">
        <v>47</v>
      </c>
      <c r="B124" s="33">
        <v>52</v>
      </c>
      <c r="C124" s="17" t="s">
        <v>377</v>
      </c>
      <c r="D124" s="18">
        <v>32.7</v>
      </c>
      <c r="E124" s="33">
        <v>1964</v>
      </c>
      <c r="F124" s="17" t="s">
        <v>961</v>
      </c>
      <c r="G124" s="17" t="s">
        <v>1013</v>
      </c>
    </row>
    <row r="125" ht="20" customHeight="1" spans="1:7" x14ac:dyDescent="0.25">
      <c r="A125" s="35" t="s">
        <v>47</v>
      </c>
      <c r="B125" s="36">
        <v>53</v>
      </c>
      <c r="C125" s="35" t="s">
        <v>387</v>
      </c>
      <c r="D125" s="37">
        <v>27.7</v>
      </c>
      <c r="E125" s="36">
        <v>1660</v>
      </c>
      <c r="F125" s="35" t="s">
        <v>961</v>
      </c>
      <c r="G125" s="35" t="s">
        <v>1014</v>
      </c>
    </row>
    <row r="126" ht="20" customHeight="1" spans="1:7" x14ac:dyDescent="0.25">
      <c r="A126" s="17" t="s">
        <v>47</v>
      </c>
      <c r="B126" s="33">
        <v>54</v>
      </c>
      <c r="C126" s="17" t="s">
        <v>388</v>
      </c>
      <c r="D126" s="18">
        <v>31.4</v>
      </c>
      <c r="E126" s="33">
        <v>1884</v>
      </c>
      <c r="F126" s="17" t="s">
        <v>961</v>
      </c>
      <c r="G126" s="17" t="s">
        <v>1015</v>
      </c>
    </row>
    <row r="127" ht="20" customHeight="1" spans="1:7" x14ac:dyDescent="0.25">
      <c r="A127" s="35" t="s">
        <v>47</v>
      </c>
      <c r="B127" s="36">
        <v>55</v>
      </c>
      <c r="C127" s="35" t="s">
        <v>401</v>
      </c>
      <c r="D127" s="37">
        <v>46.6</v>
      </c>
      <c r="E127" s="36">
        <v>2794</v>
      </c>
      <c r="F127" s="35" t="s">
        <v>961</v>
      </c>
      <c r="G127" s="35" t="s">
        <v>1016</v>
      </c>
    </row>
    <row r="128" ht="20" customHeight="1" spans="1:7" x14ac:dyDescent="0.25">
      <c r="A128" s="17" t="s">
        <v>47</v>
      </c>
      <c r="B128" s="33">
        <v>56</v>
      </c>
      <c r="C128" s="17" t="s">
        <v>402</v>
      </c>
      <c r="D128" s="18">
        <v>23.4</v>
      </c>
      <c r="E128" s="33">
        <v>1406</v>
      </c>
      <c r="F128" s="17" t="s">
        <v>961</v>
      </c>
      <c r="G128" s="17" t="s">
        <v>1017</v>
      </c>
    </row>
    <row r="129" ht="20" customHeight="1" spans="1:7" x14ac:dyDescent="0.25">
      <c r="A129" s="35" t="s">
        <v>47</v>
      </c>
      <c r="B129" s="36">
        <v>57</v>
      </c>
      <c r="C129" s="35" t="s">
        <v>412</v>
      </c>
      <c r="D129" s="37">
        <v>29.6</v>
      </c>
      <c r="E129" s="36">
        <v>1774</v>
      </c>
      <c r="F129" s="35" t="s">
        <v>961</v>
      </c>
      <c r="G129" s="35" t="s">
        <v>1018</v>
      </c>
    </row>
    <row r="130" ht="20" customHeight="1" spans="1:7" x14ac:dyDescent="0.25">
      <c r="A130" s="17" t="s">
        <v>47</v>
      </c>
      <c r="B130" s="33">
        <v>58</v>
      </c>
      <c r="C130" s="17" t="s">
        <v>413</v>
      </c>
      <c r="D130" s="18">
        <v>41.5</v>
      </c>
      <c r="E130" s="33">
        <v>2489</v>
      </c>
      <c r="F130" s="17" t="s">
        <v>961</v>
      </c>
      <c r="G130" s="17" t="s">
        <v>1019</v>
      </c>
    </row>
    <row r="131" ht="20" customHeight="1" spans="1:7" x14ac:dyDescent="0.25">
      <c r="A131" s="35" t="s">
        <v>47</v>
      </c>
      <c r="B131" s="36">
        <v>59</v>
      </c>
      <c r="C131" s="35" t="s">
        <v>426</v>
      </c>
      <c r="D131" s="37">
        <v>33.3</v>
      </c>
      <c r="E131" s="36">
        <v>2000</v>
      </c>
      <c r="F131" s="35" t="s">
        <v>961</v>
      </c>
      <c r="G131" s="35" t="s">
        <v>1020</v>
      </c>
    </row>
    <row r="132" ht="20" customHeight="1" spans="1:7" x14ac:dyDescent="0.25">
      <c r="A132" s="17" t="s">
        <v>47</v>
      </c>
      <c r="B132" s="33">
        <v>60</v>
      </c>
      <c r="C132" s="17" t="s">
        <v>427</v>
      </c>
      <c r="D132" s="18">
        <v>46.3</v>
      </c>
      <c r="E132" s="33">
        <v>2776</v>
      </c>
      <c r="F132" s="17" t="s">
        <v>961</v>
      </c>
      <c r="G132" s="17" t="s">
        <v>1021</v>
      </c>
    </row>
    <row r="133" ht="20" customHeight="1" spans="1:7" x14ac:dyDescent="0.25">
      <c r="A133" s="35" t="s">
        <v>47</v>
      </c>
      <c r="B133" s="36">
        <v>61</v>
      </c>
      <c r="C133" s="35" t="s">
        <v>437</v>
      </c>
      <c r="D133" s="37">
        <v>39.1</v>
      </c>
      <c r="E133" s="36">
        <v>2347</v>
      </c>
      <c r="F133" s="35" t="s">
        <v>961</v>
      </c>
      <c r="G133" s="35" t="s">
        <v>1022</v>
      </c>
    </row>
    <row r="134" ht="20" customHeight="1" spans="1:7" x14ac:dyDescent="0.25">
      <c r="A134" s="17" t="s">
        <v>47</v>
      </c>
      <c r="B134" s="33">
        <v>62</v>
      </c>
      <c r="C134" s="17" t="s">
        <v>438</v>
      </c>
      <c r="D134" s="18">
        <v>29</v>
      </c>
      <c r="E134" s="33">
        <v>1739</v>
      </c>
      <c r="F134" s="17" t="s">
        <v>961</v>
      </c>
      <c r="G134" s="17" t="s">
        <v>1023</v>
      </c>
    </row>
    <row r="135" ht="20" customHeight="1" spans="1:7" x14ac:dyDescent="0.25">
      <c r="A135" s="35" t="s">
        <v>47</v>
      </c>
      <c r="B135" s="36">
        <v>63</v>
      </c>
      <c r="C135" s="35" t="s">
        <v>452</v>
      </c>
      <c r="D135" s="37">
        <v>63</v>
      </c>
      <c r="E135" s="36">
        <v>3778</v>
      </c>
      <c r="F135" s="35" t="s">
        <v>961</v>
      </c>
      <c r="G135" s="35" t="s">
        <v>1024</v>
      </c>
    </row>
    <row r="136" ht="20" customHeight="1" spans="1:7" x14ac:dyDescent="0.25">
      <c r="A136" s="17" t="s">
        <v>47</v>
      </c>
      <c r="B136" s="33">
        <v>64</v>
      </c>
      <c r="C136" s="17" t="s">
        <v>453</v>
      </c>
      <c r="D136" s="18">
        <v>37</v>
      </c>
      <c r="E136" s="33">
        <v>2220</v>
      </c>
      <c r="F136" s="17" t="s">
        <v>961</v>
      </c>
      <c r="G136" s="17" t="s">
        <v>1025</v>
      </c>
    </row>
    <row r="137" ht="20" customHeight="1" spans="1:7" x14ac:dyDescent="0.25">
      <c r="A137" s="35" t="s">
        <v>47</v>
      </c>
      <c r="B137" s="36">
        <v>65</v>
      </c>
      <c r="C137" s="35" t="s">
        <v>463</v>
      </c>
      <c r="D137" s="37">
        <v>35</v>
      </c>
      <c r="E137" s="36">
        <v>2102</v>
      </c>
      <c r="F137" s="35" t="s">
        <v>961</v>
      </c>
      <c r="G137" s="35" t="s">
        <v>1026</v>
      </c>
    </row>
    <row r="138" ht="20" customHeight="1" spans="1:7" x14ac:dyDescent="0.25">
      <c r="A138" s="17" t="s">
        <v>47</v>
      </c>
      <c r="B138" s="33">
        <v>66</v>
      </c>
      <c r="C138" s="17" t="s">
        <v>464</v>
      </c>
      <c r="D138" s="18">
        <v>34</v>
      </c>
      <c r="E138" s="33">
        <v>2039</v>
      </c>
      <c r="F138" s="17" t="s">
        <v>961</v>
      </c>
      <c r="G138" s="17" t="s">
        <v>1027</v>
      </c>
    </row>
    <row r="139" ht="20" customHeight="1" spans="1:7" x14ac:dyDescent="0.25">
      <c r="A139" s="35" t="s">
        <v>47</v>
      </c>
      <c r="B139" s="36">
        <v>67</v>
      </c>
      <c r="C139" s="35" t="s">
        <v>476</v>
      </c>
      <c r="D139" s="37">
        <v>22</v>
      </c>
      <c r="E139" s="36">
        <v>1319</v>
      </c>
      <c r="F139" s="35" t="s">
        <v>961</v>
      </c>
      <c r="G139" s="35" t="s">
        <v>1028</v>
      </c>
    </row>
    <row r="140" ht="20" customHeight="1" spans="1:7" x14ac:dyDescent="0.25">
      <c r="A140" s="17" t="s">
        <v>47</v>
      </c>
      <c r="B140" s="33">
        <v>68</v>
      </c>
      <c r="C140" s="17" t="s">
        <v>477</v>
      </c>
      <c r="D140" s="18">
        <v>28.8</v>
      </c>
      <c r="E140" s="33">
        <v>1729</v>
      </c>
      <c r="F140" s="17" t="s">
        <v>961</v>
      </c>
      <c r="G140" s="17" t="s">
        <v>1029</v>
      </c>
    </row>
    <row r="141" ht="20" customHeight="1" spans="1:7" x14ac:dyDescent="0.25">
      <c r="A141" s="35" t="s">
        <v>47</v>
      </c>
      <c r="B141" s="36">
        <v>69</v>
      </c>
      <c r="C141" s="35" t="s">
        <v>487</v>
      </c>
      <c r="D141" s="37">
        <v>30.2</v>
      </c>
      <c r="E141" s="36">
        <v>1811</v>
      </c>
      <c r="F141" s="35" t="s">
        <v>961</v>
      </c>
      <c r="G141" s="35" t="s">
        <v>1030</v>
      </c>
    </row>
    <row r="142" ht="20" customHeight="1" spans="1:7" x14ac:dyDescent="0.25">
      <c r="A142" s="17" t="s">
        <v>47</v>
      </c>
      <c r="B142" s="33">
        <v>70</v>
      </c>
      <c r="C142" s="17" t="s">
        <v>488</v>
      </c>
      <c r="D142" s="18">
        <v>34.2</v>
      </c>
      <c r="E142" s="33">
        <v>2054</v>
      </c>
      <c r="F142" s="17" t="s">
        <v>961</v>
      </c>
      <c r="G142" s="17" t="s">
        <v>1031</v>
      </c>
    </row>
    <row r="143" ht="20" customHeight="1" spans="1:7" x14ac:dyDescent="0.25">
      <c r="A143" s="35" t="s">
        <v>47</v>
      </c>
      <c r="B143" s="36">
        <v>71</v>
      </c>
      <c r="C143" s="35" t="s">
        <v>499</v>
      </c>
      <c r="D143" s="37">
        <v>41.8</v>
      </c>
      <c r="E143" s="36">
        <v>2505</v>
      </c>
      <c r="F143" s="35" t="s">
        <v>961</v>
      </c>
      <c r="G143" s="35" t="s">
        <v>1032</v>
      </c>
    </row>
    <row r="144" ht="20" customHeight="1" spans="1:7" x14ac:dyDescent="0.25">
      <c r="A144" s="17" t="s">
        <v>47</v>
      </c>
      <c r="B144" s="33">
        <v>72</v>
      </c>
      <c r="C144" s="17" t="s">
        <v>500</v>
      </c>
      <c r="D144" s="18">
        <v>23.1</v>
      </c>
      <c r="E144" s="33">
        <v>1384</v>
      </c>
      <c r="F144" s="17" t="s">
        <v>961</v>
      </c>
      <c r="G144" s="17" t="s">
        <v>1033</v>
      </c>
    </row>
    <row r="145" ht="20" customHeight="1" spans="1:7" x14ac:dyDescent="0.25">
      <c r="A145" s="35" t="s">
        <v>47</v>
      </c>
      <c r="B145" s="36">
        <v>73</v>
      </c>
      <c r="C145" s="35" t="s">
        <v>510</v>
      </c>
      <c r="D145" s="37">
        <v>35.2</v>
      </c>
      <c r="E145" s="36">
        <v>2114</v>
      </c>
      <c r="F145" s="35" t="s">
        <v>961</v>
      </c>
      <c r="G145" s="35" t="s">
        <v>1034</v>
      </c>
    </row>
    <row r="146" ht="20" customHeight="1" spans="1:7" x14ac:dyDescent="0.25">
      <c r="A146" s="17" t="s">
        <v>47</v>
      </c>
      <c r="B146" s="33">
        <v>74</v>
      </c>
      <c r="C146" s="17" t="s">
        <v>511</v>
      </c>
      <c r="D146" s="18">
        <v>46.5</v>
      </c>
      <c r="E146" s="33">
        <v>2788</v>
      </c>
      <c r="F146" s="17" t="s">
        <v>961</v>
      </c>
      <c r="G146" s="17" t="s">
        <v>1035</v>
      </c>
    </row>
    <row r="147" ht="20" customHeight="1" spans="1:7" x14ac:dyDescent="0.25">
      <c r="A147" s="35" t="s">
        <v>47</v>
      </c>
      <c r="B147" s="36">
        <v>75</v>
      </c>
      <c r="C147" s="35" t="s">
        <v>522</v>
      </c>
      <c r="D147" s="37">
        <v>41</v>
      </c>
      <c r="E147" s="36">
        <v>2458</v>
      </c>
      <c r="F147" s="35" t="s">
        <v>961</v>
      </c>
      <c r="G147" s="35" t="s">
        <v>1036</v>
      </c>
    </row>
    <row r="148" ht="20" customHeight="1" spans="1:7" x14ac:dyDescent="0.25">
      <c r="A148" s="17" t="s">
        <v>47</v>
      </c>
      <c r="B148" s="33">
        <v>76</v>
      </c>
      <c r="C148" s="17" t="s">
        <v>523</v>
      </c>
      <c r="D148" s="18">
        <v>46.4</v>
      </c>
      <c r="E148" s="33">
        <v>2786</v>
      </c>
      <c r="F148" s="17" t="s">
        <v>961</v>
      </c>
      <c r="G148" s="17" t="s">
        <v>1037</v>
      </c>
    </row>
    <row r="149" ht="20" customHeight="1" spans="1:7" x14ac:dyDescent="0.25">
      <c r="A149" s="35" t="s">
        <v>47</v>
      </c>
      <c r="B149" s="36">
        <v>77</v>
      </c>
      <c r="C149" s="35" t="s">
        <v>533</v>
      </c>
      <c r="D149" s="37">
        <v>38</v>
      </c>
      <c r="E149" s="36">
        <v>2283</v>
      </c>
      <c r="F149" s="35" t="s">
        <v>961</v>
      </c>
      <c r="G149" s="35" t="s">
        <v>1038</v>
      </c>
    </row>
    <row r="150" ht="20" customHeight="1" spans="1:7" x14ac:dyDescent="0.25">
      <c r="A150" s="17" t="s">
        <v>47</v>
      </c>
      <c r="B150" s="33">
        <v>78</v>
      </c>
      <c r="C150" s="17" t="s">
        <v>534</v>
      </c>
      <c r="D150" s="18">
        <v>55.7</v>
      </c>
      <c r="E150" s="33">
        <v>3342</v>
      </c>
      <c r="F150" s="17" t="s">
        <v>961</v>
      </c>
      <c r="G150" s="17" t="s">
        <v>1039</v>
      </c>
    </row>
    <row r="151" ht="20" customHeight="1" spans="1:7" x14ac:dyDescent="0.25">
      <c r="A151" s="35" t="s">
        <v>47</v>
      </c>
      <c r="B151" s="36">
        <v>79</v>
      </c>
      <c r="C151" s="35" t="s">
        <v>545</v>
      </c>
      <c r="D151" s="37">
        <v>30.9</v>
      </c>
      <c r="E151" s="36">
        <v>1852</v>
      </c>
      <c r="F151" s="35" t="s">
        <v>961</v>
      </c>
      <c r="G151" s="35" t="s">
        <v>1040</v>
      </c>
    </row>
    <row r="152" ht="20" customHeight="1" spans="1:7" x14ac:dyDescent="0.25">
      <c r="A152" s="17" t="s">
        <v>47</v>
      </c>
      <c r="B152" s="33">
        <v>80</v>
      </c>
      <c r="C152" s="17" t="s">
        <v>546</v>
      </c>
      <c r="D152" s="18">
        <v>35</v>
      </c>
      <c r="E152" s="33">
        <v>2102</v>
      </c>
      <c r="F152" s="17" t="s">
        <v>961</v>
      </c>
      <c r="G152" s="17" t="s">
        <v>1041</v>
      </c>
    </row>
    <row r="153" ht="20" customHeight="1" spans="1:7" x14ac:dyDescent="0.25">
      <c r="A153" s="35" t="s">
        <v>47</v>
      </c>
      <c r="B153" s="36">
        <v>81</v>
      </c>
      <c r="C153" s="35" t="s">
        <v>556</v>
      </c>
      <c r="D153" s="37">
        <v>32.8</v>
      </c>
      <c r="E153" s="36">
        <v>1967</v>
      </c>
      <c r="F153" s="35" t="s">
        <v>961</v>
      </c>
      <c r="G153" s="35" t="s">
        <v>1042</v>
      </c>
    </row>
    <row r="154" ht="20" customHeight="1" spans="1:7" x14ac:dyDescent="0.25">
      <c r="A154" s="17" t="s">
        <v>47</v>
      </c>
      <c r="B154" s="33">
        <v>82</v>
      </c>
      <c r="C154" s="17" t="s">
        <v>557</v>
      </c>
      <c r="D154" s="18">
        <v>28.3</v>
      </c>
      <c r="E154" s="33">
        <v>1699</v>
      </c>
      <c r="F154" s="17" t="s">
        <v>961</v>
      </c>
      <c r="G154" s="17" t="s">
        <v>1043</v>
      </c>
    </row>
    <row r="155" ht="20" customHeight="1" spans="1:7" x14ac:dyDescent="0.25">
      <c r="A155" s="35" t="s">
        <v>47</v>
      </c>
      <c r="B155" s="36">
        <v>83</v>
      </c>
      <c r="C155" s="35" t="s">
        <v>566</v>
      </c>
      <c r="D155" s="37">
        <v>36.1</v>
      </c>
      <c r="E155" s="36">
        <v>2165</v>
      </c>
      <c r="F155" s="35" t="s">
        <v>961</v>
      </c>
      <c r="G155" s="35" t="s">
        <v>1044</v>
      </c>
    </row>
    <row r="156" ht="20" customHeight="1" spans="1:7" x14ac:dyDescent="0.25">
      <c r="A156" s="17" t="s">
        <v>47</v>
      </c>
      <c r="B156" s="33">
        <v>84</v>
      </c>
      <c r="C156" s="17" t="s">
        <v>567</v>
      </c>
      <c r="D156" s="18">
        <v>30.6</v>
      </c>
      <c r="E156" s="33">
        <v>1838</v>
      </c>
      <c r="F156" s="17" t="s">
        <v>961</v>
      </c>
      <c r="G156" s="17" t="s">
        <v>1045</v>
      </c>
    </row>
    <row r="157" ht="20" customHeight="1" spans="1:7" x14ac:dyDescent="0.25">
      <c r="A157" s="35" t="s">
        <v>47</v>
      </c>
      <c r="B157" s="36">
        <v>85</v>
      </c>
      <c r="C157" s="35" t="s">
        <v>576</v>
      </c>
      <c r="D157" s="37">
        <v>60</v>
      </c>
      <c r="E157" s="36">
        <v>3599</v>
      </c>
      <c r="F157" s="35" t="s">
        <v>961</v>
      </c>
      <c r="G157" s="35" t="s">
        <v>1046</v>
      </c>
    </row>
    <row r="158" ht="20" customHeight="1" spans="1:7" x14ac:dyDescent="0.25">
      <c r="A158" s="17" t="s">
        <v>47</v>
      </c>
      <c r="B158" s="33">
        <v>86</v>
      </c>
      <c r="C158" s="17" t="s">
        <v>577</v>
      </c>
      <c r="D158" s="18">
        <v>43.2</v>
      </c>
      <c r="E158" s="33">
        <v>2590</v>
      </c>
      <c r="F158" s="17" t="s">
        <v>961</v>
      </c>
      <c r="G158" s="17" t="s">
        <v>1047</v>
      </c>
    </row>
    <row r="159" ht="20" customHeight="1" spans="1:7" x14ac:dyDescent="0.25">
      <c r="A159" s="35" t="s">
        <v>47</v>
      </c>
      <c r="B159" s="36">
        <v>87</v>
      </c>
      <c r="C159" s="35" t="s">
        <v>586</v>
      </c>
      <c r="D159" s="37">
        <v>32.1</v>
      </c>
      <c r="E159" s="36">
        <v>1924</v>
      </c>
      <c r="F159" s="35" t="s">
        <v>961</v>
      </c>
      <c r="G159" s="35" t="s">
        <v>1048</v>
      </c>
    </row>
    <row r="160" ht="20" customHeight="1" spans="1:7" x14ac:dyDescent="0.25">
      <c r="A160" s="17" t="s">
        <v>47</v>
      </c>
      <c r="B160" s="33">
        <v>88</v>
      </c>
      <c r="C160" s="17" t="s">
        <v>587</v>
      </c>
      <c r="D160" s="18">
        <v>41.1</v>
      </c>
      <c r="E160" s="33">
        <v>2464</v>
      </c>
      <c r="F160" s="17" t="s">
        <v>961</v>
      </c>
      <c r="G160" s="17" t="s">
        <v>1049</v>
      </c>
    </row>
    <row r="161" ht="20" customHeight="1" spans="1:7" x14ac:dyDescent="0.25">
      <c r="A161" s="35" t="s">
        <v>47</v>
      </c>
      <c r="B161" s="36">
        <v>89</v>
      </c>
      <c r="C161" s="35" t="s">
        <v>595</v>
      </c>
      <c r="D161" s="37">
        <v>25.2</v>
      </c>
      <c r="E161" s="36">
        <v>1514</v>
      </c>
      <c r="F161" s="35" t="s">
        <v>961</v>
      </c>
      <c r="G161" s="35" t="s">
        <v>1050</v>
      </c>
    </row>
    <row r="162" ht="20" customHeight="1" spans="1:7" x14ac:dyDescent="0.25">
      <c r="A162" s="17" t="s">
        <v>47</v>
      </c>
      <c r="B162" s="33">
        <v>90</v>
      </c>
      <c r="C162" s="17" t="s">
        <v>596</v>
      </c>
      <c r="D162" s="18">
        <v>24.3</v>
      </c>
      <c r="E162" s="33">
        <v>1460</v>
      </c>
      <c r="F162" s="17" t="s">
        <v>961</v>
      </c>
      <c r="G162" s="17" t="s">
        <v>1051</v>
      </c>
    </row>
    <row r="163" ht="20" customHeight="1" spans="1:7" x14ac:dyDescent="0.25">
      <c r="A163" s="35" t="s">
        <v>47</v>
      </c>
      <c r="B163" s="36">
        <v>91</v>
      </c>
      <c r="C163" s="35" t="s">
        <v>605</v>
      </c>
      <c r="D163" s="37">
        <v>29</v>
      </c>
      <c r="E163" s="36">
        <v>1740</v>
      </c>
      <c r="F163" s="35" t="s">
        <v>961</v>
      </c>
      <c r="G163" s="35" t="s">
        <v>1052</v>
      </c>
    </row>
    <row r="164" ht="20" customHeight="1" spans="1:7" x14ac:dyDescent="0.25">
      <c r="A164" s="17" t="s">
        <v>47</v>
      </c>
      <c r="B164" s="33">
        <v>92</v>
      </c>
      <c r="C164" s="17" t="s">
        <v>606</v>
      </c>
      <c r="D164" s="18">
        <v>47.6</v>
      </c>
      <c r="E164" s="33">
        <v>2857</v>
      </c>
      <c r="F164" s="17" t="s">
        <v>961</v>
      </c>
      <c r="G164" s="17" t="s">
        <v>1053</v>
      </c>
    </row>
    <row r="165" ht="20" customHeight="1" spans="1:7" x14ac:dyDescent="0.25">
      <c r="A165" s="35" t="s">
        <v>47</v>
      </c>
      <c r="B165" s="36">
        <v>93</v>
      </c>
      <c r="C165" s="35" t="s">
        <v>614</v>
      </c>
      <c r="D165" s="37">
        <v>34.4</v>
      </c>
      <c r="E165" s="36">
        <v>2065</v>
      </c>
      <c r="F165" s="35" t="s">
        <v>961</v>
      </c>
      <c r="G165" s="35" t="s">
        <v>1054</v>
      </c>
    </row>
    <row r="166" ht="20" customHeight="1" spans="1:7" x14ac:dyDescent="0.25">
      <c r="A166" s="17" t="s">
        <v>47</v>
      </c>
      <c r="B166" s="33">
        <v>94</v>
      </c>
      <c r="C166" s="17" t="s">
        <v>615</v>
      </c>
      <c r="D166" s="18">
        <v>40.7</v>
      </c>
      <c r="E166" s="33">
        <v>2443</v>
      </c>
      <c r="F166" s="17" t="s">
        <v>961</v>
      </c>
      <c r="G166" s="17" t="s">
        <v>1055</v>
      </c>
    </row>
    <row r="167" ht="20" customHeight="1" spans="1:7" x14ac:dyDescent="0.25">
      <c r="A167" s="35" t="s">
        <v>47</v>
      </c>
      <c r="B167" s="36">
        <v>95</v>
      </c>
      <c r="C167" s="35" t="s">
        <v>624</v>
      </c>
      <c r="D167" s="37">
        <v>52.5</v>
      </c>
      <c r="E167" s="36">
        <v>3150</v>
      </c>
      <c r="F167" s="35" t="s">
        <v>961</v>
      </c>
      <c r="G167" s="35" t="s">
        <v>1056</v>
      </c>
    </row>
    <row r="168" ht="20" customHeight="1" spans="1:7" x14ac:dyDescent="0.25">
      <c r="A168" s="17" t="s">
        <v>47</v>
      </c>
      <c r="B168" s="33">
        <v>96</v>
      </c>
      <c r="C168" s="17" t="s">
        <v>625</v>
      </c>
      <c r="D168" s="18">
        <v>31.4</v>
      </c>
      <c r="E168" s="33">
        <v>1883</v>
      </c>
      <c r="F168" s="17" t="s">
        <v>961</v>
      </c>
      <c r="G168" s="17" t="s">
        <v>1057</v>
      </c>
    </row>
    <row r="169" ht="20" customHeight="1" spans="1:7" x14ac:dyDescent="0.25">
      <c r="A169" s="35" t="s">
        <v>47</v>
      </c>
      <c r="B169" s="36">
        <v>97</v>
      </c>
      <c r="C169" s="35" t="s">
        <v>633</v>
      </c>
      <c r="D169" s="37">
        <v>25.8</v>
      </c>
      <c r="E169" s="36">
        <v>1547</v>
      </c>
      <c r="F169" s="35" t="s">
        <v>961</v>
      </c>
      <c r="G169" s="35" t="s">
        <v>1058</v>
      </c>
    </row>
    <row r="170" ht="20" customHeight="1" spans="1:7" x14ac:dyDescent="0.25">
      <c r="A170" s="17" t="s">
        <v>47</v>
      </c>
      <c r="B170" s="33">
        <v>98</v>
      </c>
      <c r="C170" s="17" t="s">
        <v>634</v>
      </c>
      <c r="D170" s="18">
        <v>45.2</v>
      </c>
      <c r="E170" s="33">
        <v>2713</v>
      </c>
      <c r="F170" s="17" t="s">
        <v>961</v>
      </c>
      <c r="G170" s="17" t="s">
        <v>1059</v>
      </c>
    </row>
    <row r="171" ht="20" customHeight="1" spans="1:7" x14ac:dyDescent="0.25">
      <c r="A171" s="35" t="s">
        <v>47</v>
      </c>
      <c r="B171" s="36">
        <v>99</v>
      </c>
      <c r="C171" s="35" t="s">
        <v>643</v>
      </c>
      <c r="D171" s="37">
        <v>24.6</v>
      </c>
      <c r="E171" s="36">
        <v>1477</v>
      </c>
      <c r="F171" s="35" t="s">
        <v>961</v>
      </c>
      <c r="G171" s="35" t="s">
        <v>1060</v>
      </c>
    </row>
    <row r="172" ht="20" customHeight="1" spans="1:7" x14ac:dyDescent="0.25">
      <c r="A172" s="17" t="s">
        <v>47</v>
      </c>
      <c r="B172" s="33">
        <v>100</v>
      </c>
      <c r="C172" s="17" t="s">
        <v>644</v>
      </c>
      <c r="D172" s="18">
        <v>52.5</v>
      </c>
      <c r="E172" s="33">
        <v>3150</v>
      </c>
      <c r="F172" s="17" t="s">
        <v>961</v>
      </c>
      <c r="G172" s="17" t="s">
        <v>1061</v>
      </c>
    </row>
    <row r="173" ht="20" customHeight="1" spans="1:7" x14ac:dyDescent="0.25">
      <c r="A173" s="35" t="s">
        <v>47</v>
      </c>
      <c r="B173" s="36">
        <v>101</v>
      </c>
      <c r="C173" s="35" t="s">
        <v>652</v>
      </c>
      <c r="D173" s="37">
        <v>46.7</v>
      </c>
      <c r="E173" s="36">
        <v>2802</v>
      </c>
      <c r="F173" s="35" t="s">
        <v>961</v>
      </c>
      <c r="G173" s="35" t="s">
        <v>1062</v>
      </c>
    </row>
    <row r="174" ht="20" customHeight="1" spans="1:7" x14ac:dyDescent="0.25">
      <c r="A174" s="17" t="s">
        <v>47</v>
      </c>
      <c r="B174" s="33">
        <v>102</v>
      </c>
      <c r="C174" s="17" t="s">
        <v>653</v>
      </c>
      <c r="D174" s="18">
        <v>53.9</v>
      </c>
      <c r="E174" s="33">
        <v>3232</v>
      </c>
      <c r="F174" s="17" t="s">
        <v>961</v>
      </c>
      <c r="G174" s="17" t="s">
        <v>1063</v>
      </c>
    </row>
    <row r="175" ht="20" customHeight="1" spans="1:7" x14ac:dyDescent="0.25">
      <c r="A175" s="35" t="s">
        <v>47</v>
      </c>
      <c r="B175" s="36">
        <v>103</v>
      </c>
      <c r="C175" s="35" t="s">
        <v>662</v>
      </c>
      <c r="D175" s="37">
        <v>51.6</v>
      </c>
      <c r="E175" s="36">
        <v>3099</v>
      </c>
      <c r="F175" s="35" t="s">
        <v>961</v>
      </c>
      <c r="G175" s="35" t="s">
        <v>1064</v>
      </c>
    </row>
    <row r="176" ht="20" customHeight="1" spans="1:7" x14ac:dyDescent="0.25">
      <c r="A176" s="17" t="s">
        <v>47</v>
      </c>
      <c r="B176" s="33">
        <v>104</v>
      </c>
      <c r="C176" s="17" t="s">
        <v>663</v>
      </c>
      <c r="D176" s="18">
        <v>33.4</v>
      </c>
      <c r="E176" s="33">
        <v>2004</v>
      </c>
      <c r="F176" s="17" t="s">
        <v>961</v>
      </c>
      <c r="G176" s="17" t="s">
        <v>1065</v>
      </c>
    </row>
    <row r="177" ht="20" customHeight="1" spans="1:7" x14ac:dyDescent="0.25">
      <c r="A177" s="35" t="s">
        <v>47</v>
      </c>
      <c r="B177" s="36">
        <v>105</v>
      </c>
      <c r="C177" s="35" t="s">
        <v>671</v>
      </c>
      <c r="D177" s="37">
        <v>13.3</v>
      </c>
      <c r="E177" s="36">
        <v>800</v>
      </c>
      <c r="F177" s="35" t="s">
        <v>961</v>
      </c>
      <c r="G177" s="35" t="s">
        <v>1066</v>
      </c>
    </row>
    <row r="178" ht="20" customHeight="1" spans="1:7" x14ac:dyDescent="0.25">
      <c r="A178" s="17" t="s">
        <v>47</v>
      </c>
      <c r="B178" s="33">
        <v>106</v>
      </c>
      <c r="C178" s="17" t="s">
        <v>672</v>
      </c>
      <c r="D178" s="18">
        <v>23.3</v>
      </c>
      <c r="E178" s="33">
        <v>1396</v>
      </c>
      <c r="F178" s="17" t="s">
        <v>961</v>
      </c>
      <c r="G178" s="17" t="s">
        <v>1067</v>
      </c>
    </row>
    <row r="179" ht="20" customHeight="1" spans="1:7" x14ac:dyDescent="0.25">
      <c r="A179" s="35" t="s">
        <v>47</v>
      </c>
      <c r="B179" s="36">
        <v>107</v>
      </c>
      <c r="C179" s="35" t="s">
        <v>681</v>
      </c>
      <c r="D179" s="37">
        <v>65</v>
      </c>
      <c r="E179" s="36">
        <v>3899</v>
      </c>
      <c r="F179" s="35" t="s">
        <v>961</v>
      </c>
      <c r="G179" s="35" t="s">
        <v>1068</v>
      </c>
    </row>
    <row r="180" ht="20" customHeight="1" spans="1:7" x14ac:dyDescent="0.25">
      <c r="A180" s="17" t="s">
        <v>47</v>
      </c>
      <c r="B180" s="33">
        <v>108</v>
      </c>
      <c r="C180" s="17" t="s">
        <v>682</v>
      </c>
      <c r="D180" s="18">
        <v>50.8</v>
      </c>
      <c r="E180" s="33">
        <v>3048</v>
      </c>
      <c r="F180" s="17" t="s">
        <v>961</v>
      </c>
      <c r="G180" s="17" t="s">
        <v>1069</v>
      </c>
    </row>
    <row r="181" ht="20" customHeight="1" spans="1:7" x14ac:dyDescent="0.25">
      <c r="A181" s="35" t="s">
        <v>47</v>
      </c>
      <c r="B181" s="36">
        <v>109</v>
      </c>
      <c r="C181" s="35" t="s">
        <v>690</v>
      </c>
      <c r="D181" s="37">
        <v>48.6</v>
      </c>
      <c r="E181" s="36">
        <v>2916</v>
      </c>
      <c r="F181" s="35" t="s">
        <v>961</v>
      </c>
      <c r="G181" s="35" t="s">
        <v>1070</v>
      </c>
    </row>
    <row r="182" ht="20" customHeight="1" spans="1:7" x14ac:dyDescent="0.25">
      <c r="A182" s="17" t="s">
        <v>47</v>
      </c>
      <c r="B182" s="33">
        <v>110</v>
      </c>
      <c r="C182" s="17" t="s">
        <v>691</v>
      </c>
      <c r="D182" s="18">
        <v>53.5</v>
      </c>
      <c r="E182" s="33">
        <v>3208</v>
      </c>
      <c r="F182" s="17" t="s">
        <v>961</v>
      </c>
      <c r="G182" s="17" t="s">
        <v>1071</v>
      </c>
    </row>
    <row r="183" ht="20" customHeight="1" spans="1:7" x14ac:dyDescent="0.25">
      <c r="A183" s="35" t="s">
        <v>47</v>
      </c>
      <c r="B183" s="36">
        <v>111</v>
      </c>
      <c r="C183" s="35" t="s">
        <v>700</v>
      </c>
      <c r="D183" s="37">
        <v>47.9</v>
      </c>
      <c r="E183" s="36">
        <v>2871</v>
      </c>
      <c r="F183" s="35" t="s">
        <v>961</v>
      </c>
      <c r="G183" s="35" t="s">
        <v>1072</v>
      </c>
    </row>
    <row r="184" ht="20" customHeight="1" spans="1:7" x14ac:dyDescent="0.25">
      <c r="A184" s="17" t="s">
        <v>47</v>
      </c>
      <c r="B184" s="33">
        <v>112</v>
      </c>
      <c r="C184" s="17" t="s">
        <v>701</v>
      </c>
      <c r="D184" s="18">
        <v>66.5</v>
      </c>
      <c r="E184" s="33">
        <v>3993</v>
      </c>
      <c r="F184" s="17" t="s">
        <v>961</v>
      </c>
      <c r="G184" s="17" t="s">
        <v>1073</v>
      </c>
    </row>
    <row r="185" ht="20" customHeight="1" spans="1:7" x14ac:dyDescent="0.25">
      <c r="A185" s="35" t="s">
        <v>47</v>
      </c>
      <c r="B185" s="36">
        <v>113</v>
      </c>
      <c r="C185" s="35" t="s">
        <v>709</v>
      </c>
      <c r="D185" s="37">
        <v>17.6</v>
      </c>
      <c r="E185" s="36">
        <v>1057</v>
      </c>
      <c r="F185" s="35" t="s">
        <v>961</v>
      </c>
      <c r="G185" s="35" t="s">
        <v>1074</v>
      </c>
    </row>
    <row r="186" ht="20" customHeight="1" spans="1:7" x14ac:dyDescent="0.25">
      <c r="A186" s="17" t="s">
        <v>47</v>
      </c>
      <c r="B186" s="33">
        <v>114</v>
      </c>
      <c r="C186" s="17" t="s">
        <v>710</v>
      </c>
      <c r="D186" s="18">
        <v>30.5</v>
      </c>
      <c r="E186" s="33">
        <v>1828</v>
      </c>
      <c r="F186" s="17" t="s">
        <v>961</v>
      </c>
      <c r="G186" s="17" t="s">
        <v>1075</v>
      </c>
    </row>
    <row r="187" ht="20" customHeight="1" spans="1:7" x14ac:dyDescent="0.25">
      <c r="A187" s="35" t="s">
        <v>47</v>
      </c>
      <c r="B187" s="36">
        <v>115</v>
      </c>
      <c r="C187" s="35" t="s">
        <v>719</v>
      </c>
      <c r="D187" s="37">
        <v>52.3</v>
      </c>
      <c r="E187" s="36">
        <v>3139</v>
      </c>
      <c r="F187" s="35" t="s">
        <v>961</v>
      </c>
      <c r="G187" s="35" t="s">
        <v>1076</v>
      </c>
    </row>
    <row r="188" ht="20" customHeight="1" spans="1:7" x14ac:dyDescent="0.25">
      <c r="A188" s="17" t="s">
        <v>47</v>
      </c>
      <c r="B188" s="33">
        <v>116</v>
      </c>
      <c r="C188" s="17" t="s">
        <v>720</v>
      </c>
      <c r="D188" s="18">
        <v>44.8</v>
      </c>
      <c r="E188" s="33">
        <v>2690</v>
      </c>
      <c r="F188" s="17" t="s">
        <v>961</v>
      </c>
      <c r="G188" s="17" t="s">
        <v>1077</v>
      </c>
    </row>
    <row r="189" ht="20" customHeight="1" spans="1:7" x14ac:dyDescent="0.25">
      <c r="A189" s="35" t="s">
        <v>47</v>
      </c>
      <c r="B189" s="36">
        <v>117</v>
      </c>
      <c r="C189" s="35" t="s">
        <v>728</v>
      </c>
      <c r="D189" s="37">
        <v>38.2</v>
      </c>
      <c r="E189" s="36">
        <v>2291</v>
      </c>
      <c r="F189" s="35" t="s">
        <v>961</v>
      </c>
      <c r="G189" s="35" t="s">
        <v>1078</v>
      </c>
    </row>
    <row r="190" ht="20" customHeight="1" spans="1:7" x14ac:dyDescent="0.25">
      <c r="A190" s="17" t="s">
        <v>47</v>
      </c>
      <c r="B190" s="33">
        <v>118</v>
      </c>
      <c r="C190" s="17" t="s">
        <v>729</v>
      </c>
      <c r="D190" s="18">
        <v>58.2</v>
      </c>
      <c r="E190" s="33">
        <v>3490</v>
      </c>
      <c r="F190" s="17" t="s">
        <v>961</v>
      </c>
      <c r="G190" s="17" t="s">
        <v>1079</v>
      </c>
    </row>
    <row r="191" ht="20" customHeight="1" spans="1:7" x14ac:dyDescent="0.25">
      <c r="A191" s="35" t="s">
        <v>47</v>
      </c>
      <c r="B191" s="36">
        <v>119</v>
      </c>
      <c r="C191" s="35" t="s">
        <v>736</v>
      </c>
      <c r="D191" s="37">
        <v>47</v>
      </c>
      <c r="E191" s="36">
        <v>2818</v>
      </c>
      <c r="F191" s="35" t="s">
        <v>961</v>
      </c>
      <c r="G191" s="35" t="s">
        <v>1080</v>
      </c>
    </row>
    <row r="192" ht="20" customHeight="1" spans="1:7" x14ac:dyDescent="0.25">
      <c r="A192" s="17" t="s">
        <v>47</v>
      </c>
      <c r="B192" s="33">
        <v>120</v>
      </c>
      <c r="C192" s="17" t="s">
        <v>737</v>
      </c>
      <c r="D192" s="18">
        <v>53.3</v>
      </c>
      <c r="E192" s="33">
        <v>3200</v>
      </c>
      <c r="F192" s="17" t="s">
        <v>961</v>
      </c>
      <c r="G192" s="17" t="s">
        <v>1081</v>
      </c>
    </row>
    <row r="193" ht="20" customHeight="1" spans="1:7" x14ac:dyDescent="0.25">
      <c r="A193" s="35" t="s">
        <v>47</v>
      </c>
      <c r="B193" s="36">
        <v>121</v>
      </c>
      <c r="C193" s="35" t="s">
        <v>741</v>
      </c>
      <c r="D193" s="37">
        <v>58.6</v>
      </c>
      <c r="E193" s="36">
        <v>3517</v>
      </c>
      <c r="F193" s="35" t="s">
        <v>961</v>
      </c>
      <c r="G193" s="35" t="s">
        <v>1082</v>
      </c>
    </row>
    <row r="194" ht="20" customHeight="1" spans="1:7" x14ac:dyDescent="0.25">
      <c r="A194" s="17" t="s">
        <v>47</v>
      </c>
      <c r="B194" s="33">
        <v>122</v>
      </c>
      <c r="C194" s="17" t="s">
        <v>742</v>
      </c>
      <c r="D194" s="18">
        <v>49.5</v>
      </c>
      <c r="E194" s="33">
        <v>2972</v>
      </c>
      <c r="F194" s="17" t="s">
        <v>961</v>
      </c>
      <c r="G194" s="17" t="s">
        <v>1083</v>
      </c>
    </row>
    <row r="195" ht="20" customHeight="1" spans="1:7" x14ac:dyDescent="0.25">
      <c r="A195" s="35" t="s">
        <v>47</v>
      </c>
      <c r="B195" s="36">
        <v>123</v>
      </c>
      <c r="C195" s="35" t="s">
        <v>749</v>
      </c>
      <c r="D195" s="37">
        <v>31.4</v>
      </c>
      <c r="E195" s="36">
        <v>1886</v>
      </c>
      <c r="F195" s="35" t="s">
        <v>961</v>
      </c>
      <c r="G195" s="35" t="s">
        <v>1084</v>
      </c>
    </row>
    <row r="196" ht="20" customHeight="1" spans="1:7" x14ac:dyDescent="0.25">
      <c r="A196" s="17" t="s">
        <v>47</v>
      </c>
      <c r="B196" s="33">
        <v>124</v>
      </c>
      <c r="C196" s="17" t="s">
        <v>750</v>
      </c>
      <c r="D196" s="18">
        <v>28.5</v>
      </c>
      <c r="E196" s="33">
        <v>1712</v>
      </c>
      <c r="F196" s="17" t="s">
        <v>961</v>
      </c>
      <c r="G196" s="17" t="s">
        <v>1085</v>
      </c>
    </row>
    <row r="197" ht="20" customHeight="1" spans="1:7" x14ac:dyDescent="0.25">
      <c r="A197" s="35" t="s">
        <v>47</v>
      </c>
      <c r="B197" s="36">
        <v>125</v>
      </c>
      <c r="C197" s="35" t="s">
        <v>754</v>
      </c>
      <c r="D197" s="37">
        <v>32.3</v>
      </c>
      <c r="E197" s="36">
        <v>1938</v>
      </c>
      <c r="F197" s="35" t="s">
        <v>961</v>
      </c>
      <c r="G197" s="35" t="s">
        <v>1086</v>
      </c>
    </row>
    <row r="198" ht="20" customHeight="1" spans="1:7" x14ac:dyDescent="0.25">
      <c r="A198" s="17" t="s">
        <v>47</v>
      </c>
      <c r="B198" s="33">
        <v>126</v>
      </c>
      <c r="C198" s="17" t="s">
        <v>755</v>
      </c>
      <c r="D198" s="18">
        <v>33.6</v>
      </c>
      <c r="E198" s="33">
        <v>2017</v>
      </c>
      <c r="F198" s="17" t="s">
        <v>961</v>
      </c>
      <c r="G198" s="17" t="s">
        <v>1087</v>
      </c>
    </row>
    <row r="199" ht="20" customHeight="1" spans="1:7" x14ac:dyDescent="0.25">
      <c r="A199" s="35" t="s">
        <v>47</v>
      </c>
      <c r="B199" s="36">
        <v>127</v>
      </c>
      <c r="C199" s="35" t="s">
        <v>762</v>
      </c>
      <c r="D199" s="37">
        <v>18.4</v>
      </c>
      <c r="E199" s="36">
        <v>1106</v>
      </c>
      <c r="F199" s="35" t="s">
        <v>961</v>
      </c>
      <c r="G199" s="35" t="s">
        <v>1088</v>
      </c>
    </row>
    <row r="200" ht="20" customHeight="1" spans="1:7" x14ac:dyDescent="0.25">
      <c r="A200" s="17" t="s">
        <v>47</v>
      </c>
      <c r="B200" s="33">
        <v>128</v>
      </c>
      <c r="C200" s="17" t="s">
        <v>763</v>
      </c>
      <c r="D200" s="18">
        <v>26.3</v>
      </c>
      <c r="E200" s="33">
        <v>1576</v>
      </c>
      <c r="F200" s="17" t="s">
        <v>961</v>
      </c>
      <c r="G200" s="17" t="s">
        <v>1089</v>
      </c>
    </row>
    <row r="201" ht="20" customHeight="1" spans="1:7" x14ac:dyDescent="0.25">
      <c r="A201" s="35" t="s">
        <v>47</v>
      </c>
      <c r="B201" s="36">
        <v>129</v>
      </c>
      <c r="C201" s="35" t="s">
        <v>767</v>
      </c>
      <c r="D201" s="37">
        <v>33.4</v>
      </c>
      <c r="E201" s="36">
        <v>2004</v>
      </c>
      <c r="F201" s="35" t="s">
        <v>961</v>
      </c>
      <c r="G201" s="35" t="s">
        <v>1090</v>
      </c>
    </row>
    <row r="202" ht="20" customHeight="1" spans="1:7" x14ac:dyDescent="0.25">
      <c r="A202" s="17" t="s">
        <v>47</v>
      </c>
      <c r="B202" s="33">
        <v>130</v>
      </c>
      <c r="C202" s="17" t="s">
        <v>768</v>
      </c>
      <c r="D202" s="18">
        <v>26.6</v>
      </c>
      <c r="E202" s="33">
        <v>1593</v>
      </c>
      <c r="F202" s="17" t="s">
        <v>961</v>
      </c>
      <c r="G202" s="17" t="s">
        <v>1091</v>
      </c>
    </row>
    <row r="203" ht="20" customHeight="1" spans="1:7" x14ac:dyDescent="0.25">
      <c r="A203" s="35" t="s">
        <v>47</v>
      </c>
      <c r="B203" s="36">
        <v>131</v>
      </c>
      <c r="C203" s="35" t="s">
        <v>775</v>
      </c>
      <c r="D203" s="37">
        <v>39.8</v>
      </c>
      <c r="E203" s="36">
        <v>2390</v>
      </c>
      <c r="F203" s="35" t="s">
        <v>961</v>
      </c>
      <c r="G203" s="35" t="s">
        <v>1092</v>
      </c>
    </row>
    <row r="204" ht="20" customHeight="1" spans="1:7" x14ac:dyDescent="0.25">
      <c r="A204" s="17" t="s">
        <v>47</v>
      </c>
      <c r="B204" s="33">
        <v>132</v>
      </c>
      <c r="C204" s="17" t="s">
        <v>776</v>
      </c>
      <c r="D204" s="18">
        <v>37.8</v>
      </c>
      <c r="E204" s="33">
        <v>2266</v>
      </c>
      <c r="F204" s="17" t="s">
        <v>961</v>
      </c>
      <c r="G204" s="17" t="s">
        <v>1093</v>
      </c>
    </row>
    <row r="205" ht="20" customHeight="1" spans="1:7" x14ac:dyDescent="0.25">
      <c r="A205" s="35" t="s">
        <v>47</v>
      </c>
      <c r="B205" s="36">
        <v>133</v>
      </c>
      <c r="C205" s="35" t="s">
        <v>780</v>
      </c>
      <c r="D205" s="37">
        <v>31.8</v>
      </c>
      <c r="E205" s="36">
        <v>1907</v>
      </c>
      <c r="F205" s="35" t="s">
        <v>961</v>
      </c>
      <c r="G205" s="35" t="s">
        <v>1094</v>
      </c>
    </row>
    <row r="206" ht="20" customHeight="1" spans="1:7" x14ac:dyDescent="0.25">
      <c r="A206" s="17" t="s">
        <v>47</v>
      </c>
      <c r="B206" s="33">
        <v>134</v>
      </c>
      <c r="C206" s="17" t="s">
        <v>781</v>
      </c>
      <c r="D206" s="18">
        <v>21.2</v>
      </c>
      <c r="E206" s="33">
        <v>1271</v>
      </c>
      <c r="F206" s="17" t="s">
        <v>961</v>
      </c>
      <c r="G206" s="17" t="s">
        <v>1095</v>
      </c>
    </row>
    <row r="207" ht="20" customHeight="1" spans="1:7" x14ac:dyDescent="0.25">
      <c r="A207" s="35" t="s">
        <v>47</v>
      </c>
      <c r="B207" s="36">
        <v>135</v>
      </c>
      <c r="C207" s="35" t="s">
        <v>788</v>
      </c>
      <c r="D207" s="37">
        <v>23.7</v>
      </c>
      <c r="E207" s="36">
        <v>1424</v>
      </c>
      <c r="F207" s="35" t="s">
        <v>961</v>
      </c>
      <c r="G207" s="35" t="s">
        <v>1096</v>
      </c>
    </row>
    <row r="208" ht="20" customHeight="1" spans="1:7" x14ac:dyDescent="0.25">
      <c r="A208" s="17" t="s">
        <v>47</v>
      </c>
      <c r="B208" s="33">
        <v>136</v>
      </c>
      <c r="C208" s="17" t="s">
        <v>789</v>
      </c>
      <c r="D208" s="18">
        <v>42.6</v>
      </c>
      <c r="E208" s="33">
        <v>2554</v>
      </c>
      <c r="F208" s="17" t="s">
        <v>961</v>
      </c>
      <c r="G208" s="17" t="s">
        <v>1097</v>
      </c>
    </row>
    <row r="209" ht="20" customHeight="1" spans="1:7" x14ac:dyDescent="0.25">
      <c r="A209" s="35" t="s">
        <v>47</v>
      </c>
      <c r="B209" s="36">
        <v>137</v>
      </c>
      <c r="C209" s="35" t="s">
        <v>793</v>
      </c>
      <c r="D209" s="37">
        <v>52.5</v>
      </c>
      <c r="E209" s="36">
        <v>3147</v>
      </c>
      <c r="F209" s="35" t="s">
        <v>961</v>
      </c>
      <c r="G209" s="35" t="s">
        <v>1098</v>
      </c>
    </row>
    <row r="210" ht="20" customHeight="1" spans="1:7" x14ac:dyDescent="0.25">
      <c r="A210" s="17" t="s">
        <v>47</v>
      </c>
      <c r="B210" s="33">
        <v>138</v>
      </c>
      <c r="C210" s="17" t="s">
        <v>794</v>
      </c>
      <c r="D210" s="18">
        <v>22.6</v>
      </c>
      <c r="E210" s="33">
        <v>1357</v>
      </c>
      <c r="F210" s="17" t="s">
        <v>961</v>
      </c>
      <c r="G210" s="17" t="s">
        <v>1099</v>
      </c>
    </row>
    <row r="211" ht="20" customHeight="1" spans="1:7" x14ac:dyDescent="0.25">
      <c r="A211" s="35" t="s">
        <v>47</v>
      </c>
      <c r="B211" s="36">
        <v>139</v>
      </c>
      <c r="C211" s="35" t="s">
        <v>801</v>
      </c>
      <c r="D211" s="37">
        <v>35.4</v>
      </c>
      <c r="E211" s="36">
        <v>2122</v>
      </c>
      <c r="F211" s="35" t="s">
        <v>961</v>
      </c>
      <c r="G211" s="35" t="s">
        <v>1100</v>
      </c>
    </row>
    <row r="212" ht="20" customHeight="1" spans="1:7" x14ac:dyDescent="0.25">
      <c r="A212" s="17" t="s">
        <v>47</v>
      </c>
      <c r="B212" s="33">
        <v>140</v>
      </c>
      <c r="C212" s="17" t="s">
        <v>802</v>
      </c>
      <c r="D212" s="18">
        <v>39</v>
      </c>
      <c r="E212" s="33">
        <v>2343</v>
      </c>
      <c r="F212" s="17" t="s">
        <v>961</v>
      </c>
      <c r="G212" s="17" t="s">
        <v>1101</v>
      </c>
    </row>
    <row r="213" ht="20" customHeight="1" spans="1:7" x14ac:dyDescent="0.25">
      <c r="A213" s="35" t="s">
        <v>47</v>
      </c>
      <c r="B213" s="36">
        <v>141</v>
      </c>
      <c r="C213" s="35" t="s">
        <v>805</v>
      </c>
      <c r="D213" s="37">
        <v>22.9</v>
      </c>
      <c r="E213" s="36">
        <v>1374</v>
      </c>
      <c r="F213" s="35" t="s">
        <v>961</v>
      </c>
      <c r="G213" s="35" t="s">
        <v>1102</v>
      </c>
    </row>
    <row r="214" ht="20" customHeight="1" spans="1:7" x14ac:dyDescent="0.25">
      <c r="A214" s="17" t="s">
        <v>47</v>
      </c>
      <c r="B214" s="33">
        <v>142</v>
      </c>
      <c r="C214" s="17" t="s">
        <v>806</v>
      </c>
      <c r="D214" s="18">
        <v>39.9</v>
      </c>
      <c r="E214" s="33">
        <v>2394</v>
      </c>
      <c r="F214" s="17" t="s">
        <v>961</v>
      </c>
      <c r="G214" s="17" t="s">
        <v>1103</v>
      </c>
    </row>
    <row r="215" ht="20" customHeight="1" spans="1:7" x14ac:dyDescent="0.25">
      <c r="A215" s="35" t="s">
        <v>47</v>
      </c>
      <c r="B215" s="36">
        <v>143</v>
      </c>
      <c r="C215" s="35" t="s">
        <v>813</v>
      </c>
      <c r="D215" s="37">
        <v>33.5</v>
      </c>
      <c r="E215" s="36">
        <v>2009</v>
      </c>
      <c r="F215" s="35" t="s">
        <v>961</v>
      </c>
      <c r="G215" s="35" t="s">
        <v>1104</v>
      </c>
    </row>
    <row r="216" ht="20" customHeight="1" spans="1:7" x14ac:dyDescent="0.25">
      <c r="A216" s="17" t="s">
        <v>47</v>
      </c>
      <c r="B216" s="33">
        <v>144</v>
      </c>
      <c r="C216" s="17" t="s">
        <v>814</v>
      </c>
      <c r="D216" s="18">
        <v>22.4</v>
      </c>
      <c r="E216" s="33">
        <v>1346</v>
      </c>
      <c r="F216" s="17" t="s">
        <v>961</v>
      </c>
      <c r="G216" s="17" t="s">
        <v>1105</v>
      </c>
    </row>
    <row r="217" ht="20" customHeight="1" spans="1:7" x14ac:dyDescent="0.25">
      <c r="A217" s="35" t="s">
        <v>47</v>
      </c>
      <c r="B217" s="36">
        <v>145</v>
      </c>
      <c r="C217" s="35" t="s">
        <v>816</v>
      </c>
      <c r="D217" s="37">
        <v>57.2</v>
      </c>
      <c r="E217" s="36">
        <v>3430</v>
      </c>
      <c r="F217" s="35" t="s">
        <v>961</v>
      </c>
      <c r="G217" s="35" t="s">
        <v>1106</v>
      </c>
    </row>
    <row r="218" ht="20" customHeight="1" spans="1:7" x14ac:dyDescent="0.25">
      <c r="A218" s="17" t="s">
        <v>47</v>
      </c>
      <c r="B218" s="33">
        <v>146</v>
      </c>
      <c r="C218" s="17" t="s">
        <v>817</v>
      </c>
      <c r="D218" s="18">
        <v>45.7</v>
      </c>
      <c r="E218" s="33">
        <v>2743</v>
      </c>
      <c r="F218" s="17" t="s">
        <v>961</v>
      </c>
      <c r="G218" s="17" t="s">
        <v>1107</v>
      </c>
    </row>
    <row r="219" ht="20" customHeight="1" spans="1:7" x14ac:dyDescent="0.25">
      <c r="A219" s="35" t="s">
        <v>47</v>
      </c>
      <c r="B219" s="36">
        <v>147</v>
      </c>
      <c r="C219" s="35" t="s">
        <v>824</v>
      </c>
      <c r="D219" s="37">
        <v>26.7</v>
      </c>
      <c r="E219" s="36">
        <v>1601</v>
      </c>
      <c r="F219" s="35" t="s">
        <v>961</v>
      </c>
      <c r="G219" s="35" t="s">
        <v>1108</v>
      </c>
    </row>
    <row r="220" ht="20" customHeight="1" spans="1:7" x14ac:dyDescent="0.25">
      <c r="A220" s="17" t="s">
        <v>47</v>
      </c>
      <c r="B220" s="33">
        <v>148</v>
      </c>
      <c r="C220" s="17" t="s">
        <v>825</v>
      </c>
      <c r="D220" s="18">
        <v>33</v>
      </c>
      <c r="E220" s="33">
        <v>1979</v>
      </c>
      <c r="F220" s="17" t="s">
        <v>961</v>
      </c>
      <c r="G220" s="17" t="s">
        <v>1109</v>
      </c>
    </row>
    <row r="221" ht="20" customHeight="1" spans="1:7" x14ac:dyDescent="0.25">
      <c r="A221" s="35" t="s">
        <v>47</v>
      </c>
      <c r="B221" s="36">
        <v>149</v>
      </c>
      <c r="C221" s="35" t="s">
        <v>827</v>
      </c>
      <c r="D221" s="37">
        <v>31.1</v>
      </c>
      <c r="E221" s="36">
        <v>1869</v>
      </c>
      <c r="F221" s="35" t="s">
        <v>961</v>
      </c>
      <c r="G221" s="35" t="s">
        <v>1110</v>
      </c>
    </row>
    <row r="222" ht="20" customHeight="1" spans="1:7" x14ac:dyDescent="0.25">
      <c r="A222" s="17" t="s">
        <v>47</v>
      </c>
      <c r="B222" s="33">
        <v>150</v>
      </c>
      <c r="C222" s="17" t="s">
        <v>828</v>
      </c>
      <c r="D222" s="18">
        <v>31.6</v>
      </c>
      <c r="E222" s="33">
        <v>1898</v>
      </c>
      <c r="F222" s="17" t="s">
        <v>961</v>
      </c>
      <c r="G222" s="17" t="s">
        <v>1111</v>
      </c>
    </row>
    <row r="223" ht="20" customHeight="1" spans="1:7" x14ac:dyDescent="0.25">
      <c r="A223" s="35" t="s">
        <v>47</v>
      </c>
      <c r="B223" s="36">
        <v>151</v>
      </c>
      <c r="C223" s="35" t="s">
        <v>835</v>
      </c>
      <c r="D223" s="37">
        <v>30.4</v>
      </c>
      <c r="E223" s="36">
        <v>1826</v>
      </c>
      <c r="F223" s="35" t="s">
        <v>961</v>
      </c>
      <c r="G223" s="35" t="s">
        <v>1112</v>
      </c>
    </row>
    <row r="224" ht="20" customHeight="1" spans="1:7" x14ac:dyDescent="0.25">
      <c r="A224" s="17" t="s">
        <v>47</v>
      </c>
      <c r="B224" s="33">
        <v>152</v>
      </c>
      <c r="C224" s="17" t="s">
        <v>836</v>
      </c>
      <c r="D224" s="18">
        <v>27.6</v>
      </c>
      <c r="E224" s="33">
        <v>1655</v>
      </c>
      <c r="F224" s="17" t="s">
        <v>961</v>
      </c>
      <c r="G224" s="17" t="s">
        <v>1113</v>
      </c>
    </row>
    <row r="225" ht="20" customHeight="1" spans="1:7" x14ac:dyDescent="0.25">
      <c r="A225" s="35" t="s">
        <v>47</v>
      </c>
      <c r="B225" s="36">
        <v>153</v>
      </c>
      <c r="C225" s="35" t="s">
        <v>838</v>
      </c>
      <c r="D225" s="37">
        <v>41.9</v>
      </c>
      <c r="E225" s="36">
        <v>2512</v>
      </c>
      <c r="F225" s="35" t="s">
        <v>961</v>
      </c>
      <c r="G225" s="35" t="s">
        <v>1114</v>
      </c>
    </row>
    <row r="226" ht="20" customHeight="1" spans="1:7" x14ac:dyDescent="0.25">
      <c r="A226" s="17" t="s">
        <v>47</v>
      </c>
      <c r="B226" s="33">
        <v>154</v>
      </c>
      <c r="C226" s="17" t="s">
        <v>839</v>
      </c>
      <c r="D226" s="18">
        <v>57.4</v>
      </c>
      <c r="E226" s="33">
        <v>3444</v>
      </c>
      <c r="F226" s="17" t="s">
        <v>961</v>
      </c>
      <c r="G226" s="17" t="s">
        <v>1115</v>
      </c>
    </row>
    <row r="227" ht="20" customHeight="1" spans="1:7" x14ac:dyDescent="0.25">
      <c r="A227" s="35" t="s">
        <v>47</v>
      </c>
      <c r="B227" s="36">
        <v>155</v>
      </c>
      <c r="C227" s="35" t="s">
        <v>844</v>
      </c>
      <c r="D227" s="37">
        <v>45.7</v>
      </c>
      <c r="E227" s="36">
        <v>2741</v>
      </c>
      <c r="F227" s="35" t="s">
        <v>961</v>
      </c>
      <c r="G227" s="35" t="s">
        <v>1116</v>
      </c>
    </row>
    <row r="228" ht="20" customHeight="1" spans="1:7" x14ac:dyDescent="0.25">
      <c r="A228" s="17" t="s">
        <v>47</v>
      </c>
      <c r="B228" s="33">
        <v>156</v>
      </c>
      <c r="C228" s="17" t="s">
        <v>845</v>
      </c>
      <c r="D228" s="18">
        <v>38.6</v>
      </c>
      <c r="E228" s="33">
        <v>2317</v>
      </c>
      <c r="F228" s="17" t="s">
        <v>961</v>
      </c>
      <c r="G228" s="17" t="s">
        <v>1117</v>
      </c>
    </row>
    <row r="229" ht="20" customHeight="1" spans="1:7" x14ac:dyDescent="0.25">
      <c r="A229" s="35" t="s">
        <v>47</v>
      </c>
      <c r="B229" s="36">
        <v>157</v>
      </c>
      <c r="C229" s="35" t="s">
        <v>847</v>
      </c>
      <c r="D229" s="37">
        <v>35.8</v>
      </c>
      <c r="E229" s="36">
        <v>2146</v>
      </c>
      <c r="F229" s="35" t="s">
        <v>961</v>
      </c>
      <c r="G229" s="35" t="s">
        <v>1118</v>
      </c>
    </row>
    <row r="230" ht="20" customHeight="1" spans="1:7" x14ac:dyDescent="0.25">
      <c r="A230" s="17" t="s">
        <v>47</v>
      </c>
      <c r="B230" s="33">
        <v>158</v>
      </c>
      <c r="C230" s="17" t="s">
        <v>848</v>
      </c>
      <c r="D230" s="18">
        <v>22.1</v>
      </c>
      <c r="E230" s="33">
        <v>1329</v>
      </c>
      <c r="F230" s="17" t="s">
        <v>961</v>
      </c>
      <c r="G230" s="17" t="s">
        <v>1119</v>
      </c>
    </row>
    <row r="231" ht="20" customHeight="1" spans="1:7" x14ac:dyDescent="0.25">
      <c r="A231" s="35" t="s">
        <v>47</v>
      </c>
      <c r="B231" s="36">
        <v>159</v>
      </c>
      <c r="C231" s="35" t="s">
        <v>852</v>
      </c>
      <c r="D231" s="37">
        <v>44.1</v>
      </c>
      <c r="E231" s="36">
        <v>2646</v>
      </c>
      <c r="F231" s="35" t="s">
        <v>961</v>
      </c>
      <c r="G231" s="35" t="s">
        <v>1120</v>
      </c>
    </row>
    <row r="232" ht="20" customHeight="1" spans="1:7" x14ac:dyDescent="0.25">
      <c r="A232" s="17" t="s">
        <v>47</v>
      </c>
      <c r="B232" s="33">
        <v>160</v>
      </c>
      <c r="C232" s="17" t="s">
        <v>853</v>
      </c>
      <c r="D232" s="18">
        <v>40.7</v>
      </c>
      <c r="E232" s="33">
        <v>2443</v>
      </c>
      <c r="F232" s="17" t="s">
        <v>961</v>
      </c>
      <c r="G232" s="17" t="s">
        <v>1121</v>
      </c>
    </row>
    <row r="233" ht="20" customHeight="1" spans="1:7" x14ac:dyDescent="0.25">
      <c r="A233" s="35" t="s">
        <v>47</v>
      </c>
      <c r="B233" s="36">
        <v>161</v>
      </c>
      <c r="C233" s="35" t="s">
        <v>855</v>
      </c>
      <c r="D233" s="37">
        <v>46.7</v>
      </c>
      <c r="E233" s="36">
        <v>2803</v>
      </c>
      <c r="F233" s="35" t="s">
        <v>961</v>
      </c>
      <c r="G233" s="35" t="s">
        <v>1122</v>
      </c>
    </row>
    <row r="234" ht="20" customHeight="1" spans="1:7" x14ac:dyDescent="0.25">
      <c r="A234" s="17" t="s">
        <v>47</v>
      </c>
      <c r="B234" s="33">
        <v>162</v>
      </c>
      <c r="C234" s="17" t="s">
        <v>856</v>
      </c>
      <c r="D234" s="18">
        <v>24.6</v>
      </c>
      <c r="E234" s="33">
        <v>1476</v>
      </c>
      <c r="F234" s="17" t="s">
        <v>961</v>
      </c>
      <c r="G234" s="17" t="s">
        <v>1123</v>
      </c>
    </row>
    <row r="235" ht="20" customHeight="1" spans="1:7" x14ac:dyDescent="0.25">
      <c r="A235" s="35" t="s">
        <v>47</v>
      </c>
      <c r="B235" s="36">
        <v>163</v>
      </c>
      <c r="C235" s="35" t="s">
        <v>859</v>
      </c>
      <c r="D235" s="37">
        <v>40.6</v>
      </c>
      <c r="E235" s="36">
        <v>2436</v>
      </c>
      <c r="F235" s="35" t="s">
        <v>961</v>
      </c>
      <c r="G235" s="35" t="s">
        <v>1124</v>
      </c>
    </row>
    <row r="236" ht="20" customHeight="1" spans="1:7" x14ac:dyDescent="0.25">
      <c r="A236" s="17" t="s">
        <v>47</v>
      </c>
      <c r="B236" s="33">
        <v>164</v>
      </c>
      <c r="C236" s="17" t="s">
        <v>860</v>
      </c>
      <c r="D236" s="18">
        <v>38.9</v>
      </c>
      <c r="E236" s="33">
        <v>2335</v>
      </c>
      <c r="F236" s="17" t="s">
        <v>961</v>
      </c>
      <c r="G236" s="17" t="s">
        <v>1125</v>
      </c>
    </row>
    <row r="237" ht="20" customHeight="1" spans="1:7" x14ac:dyDescent="0.25">
      <c r="A237" s="35" t="s">
        <v>47</v>
      </c>
      <c r="B237" s="36">
        <v>165</v>
      </c>
      <c r="C237" s="35" t="s">
        <v>862</v>
      </c>
      <c r="D237" s="37">
        <v>23.8</v>
      </c>
      <c r="E237" s="36">
        <v>1429</v>
      </c>
      <c r="F237" s="35" t="s">
        <v>961</v>
      </c>
      <c r="G237" s="35" t="s">
        <v>1126</v>
      </c>
    </row>
    <row r="238" ht="20" customHeight="1" spans="1:7" x14ac:dyDescent="0.25">
      <c r="A238" s="17" t="s">
        <v>47</v>
      </c>
      <c r="B238" s="33">
        <v>166</v>
      </c>
      <c r="C238" s="17" t="s">
        <v>863</v>
      </c>
      <c r="D238" s="18">
        <v>28.2</v>
      </c>
      <c r="E238" s="33">
        <v>1693</v>
      </c>
      <c r="F238" s="17" t="s">
        <v>961</v>
      </c>
      <c r="G238" s="17" t="s">
        <v>1127</v>
      </c>
    </row>
    <row r="239" ht="20" customHeight="1" spans="1:7" x14ac:dyDescent="0.25">
      <c r="A239" s="35" t="s">
        <v>32</v>
      </c>
      <c r="B239" s="36">
        <v>1</v>
      </c>
      <c r="C239" s="35" t="s">
        <v>33</v>
      </c>
      <c r="D239" s="37">
        <v>27</v>
      </c>
      <c r="E239" s="36">
        <v>1620</v>
      </c>
      <c r="F239" s="35" t="s">
        <v>1128</v>
      </c>
      <c r="G239" s="35" t="s">
        <v>1129</v>
      </c>
    </row>
    <row r="240" ht="20" customHeight="1" spans="1:7" x14ac:dyDescent="0.25">
      <c r="A240" s="17" t="s">
        <v>32</v>
      </c>
      <c r="B240" s="33">
        <v>2</v>
      </c>
      <c r="C240" s="17" t="s">
        <v>37</v>
      </c>
      <c r="D240" s="18">
        <v>14.4</v>
      </c>
      <c r="E240" s="33">
        <v>864</v>
      </c>
      <c r="F240" s="17" t="s">
        <v>1128</v>
      </c>
      <c r="G240" s="17" t="s">
        <v>1130</v>
      </c>
    </row>
    <row r="241" ht="20" customHeight="1" spans="1:7" x14ac:dyDescent="0.25">
      <c r="A241" s="35" t="s">
        <v>32</v>
      </c>
      <c r="B241" s="36">
        <v>3</v>
      </c>
      <c r="C241" s="35" t="s">
        <v>83</v>
      </c>
      <c r="D241" s="37">
        <v>43.5</v>
      </c>
      <c r="E241" s="36">
        <v>2611</v>
      </c>
      <c r="F241" s="35" t="s">
        <v>1128</v>
      </c>
      <c r="G241" s="35" t="s">
        <v>1131</v>
      </c>
    </row>
    <row r="242" ht="20" customHeight="1" spans="1:7" x14ac:dyDescent="0.25">
      <c r="A242" s="17" t="s">
        <v>32</v>
      </c>
      <c r="B242" s="33">
        <v>4</v>
      </c>
      <c r="C242" s="17" t="s">
        <v>84</v>
      </c>
      <c r="D242" s="18">
        <v>28.4</v>
      </c>
      <c r="E242" s="33">
        <v>1705</v>
      </c>
      <c r="F242" s="17" t="s">
        <v>1128</v>
      </c>
      <c r="G242" s="17" t="s">
        <v>1132</v>
      </c>
    </row>
    <row r="243" ht="20" customHeight="1" spans="1:7" x14ac:dyDescent="0.25">
      <c r="A243" s="35" t="s">
        <v>32</v>
      </c>
      <c r="B243" s="36">
        <v>5</v>
      </c>
      <c r="C243" s="35" t="s">
        <v>108</v>
      </c>
      <c r="D243" s="37">
        <v>23.9</v>
      </c>
      <c r="E243" s="36">
        <v>1437</v>
      </c>
      <c r="F243" s="35" t="s">
        <v>1128</v>
      </c>
      <c r="G243" s="35" t="s">
        <v>1133</v>
      </c>
    </row>
    <row r="244" ht="20" customHeight="1" spans="1:7" x14ac:dyDescent="0.25">
      <c r="A244" s="17" t="s">
        <v>32</v>
      </c>
      <c r="B244" s="33">
        <v>6</v>
      </c>
      <c r="C244" s="17" t="s">
        <v>109</v>
      </c>
      <c r="D244" s="18">
        <v>9.8</v>
      </c>
      <c r="E244" s="33">
        <v>586</v>
      </c>
      <c r="F244" s="17" t="s">
        <v>1128</v>
      </c>
      <c r="G244" s="17" t="s">
        <v>1134</v>
      </c>
    </row>
    <row r="245" ht="20" customHeight="1" spans="1:7" x14ac:dyDescent="0.25">
      <c r="A245" s="35" t="s">
        <v>32</v>
      </c>
      <c r="B245" s="36">
        <v>7</v>
      </c>
      <c r="C245" s="35" t="s">
        <v>133</v>
      </c>
      <c r="D245" s="37">
        <v>37.5</v>
      </c>
      <c r="E245" s="36">
        <v>2253</v>
      </c>
      <c r="F245" s="35" t="s">
        <v>1128</v>
      </c>
      <c r="G245" s="35" t="s">
        <v>1135</v>
      </c>
    </row>
    <row r="246" ht="20" customHeight="1" spans="1:7" x14ac:dyDescent="0.25">
      <c r="A246" s="17" t="s">
        <v>32</v>
      </c>
      <c r="B246" s="33">
        <v>8</v>
      </c>
      <c r="C246" s="17" t="s">
        <v>134</v>
      </c>
      <c r="D246" s="18">
        <v>22.2</v>
      </c>
      <c r="E246" s="33">
        <v>1330</v>
      </c>
      <c r="F246" s="17" t="s">
        <v>1128</v>
      </c>
      <c r="G246" s="17" t="s">
        <v>1136</v>
      </c>
    </row>
    <row r="247" ht="20" customHeight="1" spans="1:7" x14ac:dyDescent="0.25">
      <c r="A247" s="35" t="s">
        <v>32</v>
      </c>
      <c r="B247" s="36">
        <v>9</v>
      </c>
      <c r="C247" s="35" t="s">
        <v>158</v>
      </c>
      <c r="D247" s="37">
        <v>36.4</v>
      </c>
      <c r="E247" s="36">
        <v>2182</v>
      </c>
      <c r="F247" s="35" t="s">
        <v>1128</v>
      </c>
      <c r="G247" s="35" t="s">
        <v>1137</v>
      </c>
    </row>
    <row r="248" ht="20" customHeight="1" spans="1:7" x14ac:dyDescent="0.25">
      <c r="A248" s="17" t="s">
        <v>32</v>
      </c>
      <c r="B248" s="33">
        <v>10</v>
      </c>
      <c r="C248" s="17" t="s">
        <v>159</v>
      </c>
      <c r="D248" s="18">
        <v>35.5</v>
      </c>
      <c r="E248" s="33">
        <v>2129</v>
      </c>
      <c r="F248" s="17" t="s">
        <v>1128</v>
      </c>
      <c r="G248" s="17" t="s">
        <v>1138</v>
      </c>
    </row>
    <row r="249" ht="20" customHeight="1" spans="1:7" x14ac:dyDescent="0.25">
      <c r="A249" s="35" t="s">
        <v>32</v>
      </c>
      <c r="B249" s="36">
        <v>11</v>
      </c>
      <c r="C249" s="35" t="s">
        <v>183</v>
      </c>
      <c r="D249" s="37">
        <v>65.1</v>
      </c>
      <c r="E249" s="36">
        <v>3905</v>
      </c>
      <c r="F249" s="35" t="s">
        <v>1128</v>
      </c>
      <c r="G249" s="35" t="s">
        <v>1139</v>
      </c>
    </row>
    <row r="250" ht="20" customHeight="1" spans="1:7" x14ac:dyDescent="0.25">
      <c r="A250" s="17" t="s">
        <v>32</v>
      </c>
      <c r="B250" s="33">
        <v>12</v>
      </c>
      <c r="C250" s="17" t="s">
        <v>184</v>
      </c>
      <c r="D250" s="18">
        <v>33.1</v>
      </c>
      <c r="E250" s="33">
        <v>1989</v>
      </c>
      <c r="F250" s="17" t="s">
        <v>1128</v>
      </c>
      <c r="G250" s="17" t="s">
        <v>1140</v>
      </c>
    </row>
    <row r="251" ht="20" customHeight="1" spans="1:7" x14ac:dyDescent="0.25">
      <c r="A251" s="35" t="s">
        <v>32</v>
      </c>
      <c r="B251" s="36">
        <v>13</v>
      </c>
      <c r="C251" s="35" t="s">
        <v>208</v>
      </c>
      <c r="D251" s="37">
        <v>47.8</v>
      </c>
      <c r="E251" s="36">
        <v>2868</v>
      </c>
      <c r="F251" s="35" t="s">
        <v>1128</v>
      </c>
      <c r="G251" s="35" t="s">
        <v>1141</v>
      </c>
    </row>
    <row r="252" ht="20" customHeight="1" spans="1:7" x14ac:dyDescent="0.25">
      <c r="A252" s="17" t="s">
        <v>32</v>
      </c>
      <c r="B252" s="33">
        <v>14</v>
      </c>
      <c r="C252" s="17" t="s">
        <v>209</v>
      </c>
      <c r="D252" s="18">
        <v>30</v>
      </c>
      <c r="E252" s="33">
        <v>1800</v>
      </c>
      <c r="F252" s="17" t="s">
        <v>1128</v>
      </c>
      <c r="G252" s="17" t="s">
        <v>1142</v>
      </c>
    </row>
    <row r="253" ht="20" customHeight="1" spans="1:7" x14ac:dyDescent="0.25">
      <c r="A253" s="35" t="s">
        <v>32</v>
      </c>
      <c r="B253" s="36">
        <v>15</v>
      </c>
      <c r="C253" s="35" t="s">
        <v>233</v>
      </c>
      <c r="D253" s="37">
        <v>52.9</v>
      </c>
      <c r="E253" s="36">
        <v>3171</v>
      </c>
      <c r="F253" s="35" t="s">
        <v>1128</v>
      </c>
      <c r="G253" s="35" t="s">
        <v>1143</v>
      </c>
    </row>
    <row r="254" ht="20" customHeight="1" spans="1:7" x14ac:dyDescent="0.25">
      <c r="A254" s="17" t="s">
        <v>32</v>
      </c>
      <c r="B254" s="33">
        <v>16</v>
      </c>
      <c r="C254" s="17" t="s">
        <v>234</v>
      </c>
      <c r="D254" s="18">
        <v>36.9</v>
      </c>
      <c r="E254" s="33">
        <v>2214</v>
      </c>
      <c r="F254" s="17" t="s">
        <v>1128</v>
      </c>
      <c r="G254" s="17" t="s">
        <v>1144</v>
      </c>
    </row>
    <row r="255" ht="20" customHeight="1" spans="1:7" x14ac:dyDescent="0.25">
      <c r="A255" s="35" t="s">
        <v>32</v>
      </c>
      <c r="B255" s="36">
        <v>17</v>
      </c>
      <c r="C255" s="35" t="s">
        <v>258</v>
      </c>
      <c r="D255" s="37">
        <v>42.8</v>
      </c>
      <c r="E255" s="36">
        <v>2570</v>
      </c>
      <c r="F255" s="35" t="s">
        <v>1128</v>
      </c>
      <c r="G255" s="35" t="s">
        <v>1145</v>
      </c>
    </row>
    <row r="256" ht="20" customHeight="1" spans="1:7" x14ac:dyDescent="0.25">
      <c r="A256" s="17" t="s">
        <v>32</v>
      </c>
      <c r="B256" s="33">
        <v>18</v>
      </c>
      <c r="C256" s="17" t="s">
        <v>259</v>
      </c>
      <c r="D256" s="18">
        <v>25.9</v>
      </c>
      <c r="E256" s="33">
        <v>1557</v>
      </c>
      <c r="F256" s="17" t="s">
        <v>1128</v>
      </c>
      <c r="G256" s="17" t="s">
        <v>1146</v>
      </c>
    </row>
    <row r="257" ht="20" customHeight="1" spans="1:7" x14ac:dyDescent="0.25">
      <c r="A257" s="35" t="s">
        <v>32</v>
      </c>
      <c r="B257" s="36">
        <v>19</v>
      </c>
      <c r="C257" s="35" t="s">
        <v>283</v>
      </c>
      <c r="D257" s="37">
        <v>44.3</v>
      </c>
      <c r="E257" s="36">
        <v>2660</v>
      </c>
      <c r="F257" s="35" t="s">
        <v>1128</v>
      </c>
      <c r="G257" s="35" t="s">
        <v>1147</v>
      </c>
    </row>
    <row r="258" ht="20" customHeight="1" spans="1:7" x14ac:dyDescent="0.25">
      <c r="A258" s="17" t="s">
        <v>32</v>
      </c>
      <c r="B258" s="33">
        <v>20</v>
      </c>
      <c r="C258" s="17" t="s">
        <v>284</v>
      </c>
      <c r="D258" s="18">
        <v>16.3</v>
      </c>
      <c r="E258" s="33">
        <v>979</v>
      </c>
      <c r="F258" s="17" t="s">
        <v>1128</v>
      </c>
      <c r="G258" s="17" t="s">
        <v>1148</v>
      </c>
    </row>
    <row r="259" ht="20" customHeight="1" spans="1:7" x14ac:dyDescent="0.25">
      <c r="A259" s="35" t="s">
        <v>32</v>
      </c>
      <c r="B259" s="36">
        <v>21</v>
      </c>
      <c r="C259" s="35" t="s">
        <v>308</v>
      </c>
      <c r="D259" s="37">
        <v>38.5</v>
      </c>
      <c r="E259" s="36">
        <v>2313</v>
      </c>
      <c r="F259" s="35" t="s">
        <v>1128</v>
      </c>
      <c r="G259" s="35" t="s">
        <v>1149</v>
      </c>
    </row>
    <row r="260" ht="20" customHeight="1" spans="1:7" x14ac:dyDescent="0.25">
      <c r="A260" s="17" t="s">
        <v>32</v>
      </c>
      <c r="B260" s="33">
        <v>22</v>
      </c>
      <c r="C260" s="17" t="s">
        <v>309</v>
      </c>
      <c r="D260" s="18">
        <v>17.7</v>
      </c>
      <c r="E260" s="33">
        <v>1064</v>
      </c>
      <c r="F260" s="17" t="s">
        <v>1128</v>
      </c>
      <c r="G260" s="17" t="s">
        <v>1150</v>
      </c>
    </row>
    <row r="261" ht="20" customHeight="1" spans="1:7" x14ac:dyDescent="0.25">
      <c r="A261" s="35" t="s">
        <v>32</v>
      </c>
      <c r="B261" s="36">
        <v>23</v>
      </c>
      <c r="C261" s="35" t="s">
        <v>333</v>
      </c>
      <c r="D261" s="37">
        <v>28.4</v>
      </c>
      <c r="E261" s="36">
        <v>1702</v>
      </c>
      <c r="F261" s="35" t="s">
        <v>1128</v>
      </c>
      <c r="G261" s="35" t="s">
        <v>1151</v>
      </c>
    </row>
    <row r="262" ht="20" customHeight="1" spans="1:7" x14ac:dyDescent="0.25">
      <c r="A262" s="17" t="s">
        <v>32</v>
      </c>
      <c r="B262" s="33">
        <v>24</v>
      </c>
      <c r="C262" s="17" t="s">
        <v>334</v>
      </c>
      <c r="D262" s="18">
        <v>16.8</v>
      </c>
      <c r="E262" s="33">
        <v>1006</v>
      </c>
      <c r="F262" s="17" t="s">
        <v>1128</v>
      </c>
      <c r="G262" s="17" t="s">
        <v>1152</v>
      </c>
    </row>
    <row r="263" ht="20" customHeight="1" spans="1:7" x14ac:dyDescent="0.25">
      <c r="A263" s="35" t="s">
        <v>32</v>
      </c>
      <c r="B263" s="36">
        <v>25</v>
      </c>
      <c r="C263" s="35" t="s">
        <v>358</v>
      </c>
      <c r="D263" s="37">
        <v>22.2</v>
      </c>
      <c r="E263" s="36">
        <v>1335</v>
      </c>
      <c r="F263" s="35" t="s">
        <v>1128</v>
      </c>
      <c r="G263" s="35" t="s">
        <v>1153</v>
      </c>
    </row>
    <row r="264" ht="20" customHeight="1" spans="1:7" x14ac:dyDescent="0.25">
      <c r="A264" s="17" t="s">
        <v>32</v>
      </c>
      <c r="B264" s="33">
        <v>26</v>
      </c>
      <c r="C264" s="17" t="s">
        <v>359</v>
      </c>
      <c r="D264" s="18">
        <v>16.9</v>
      </c>
      <c r="E264" s="33">
        <v>1015</v>
      </c>
      <c r="F264" s="17" t="s">
        <v>1128</v>
      </c>
      <c r="G264" s="17" t="s">
        <v>1154</v>
      </c>
    </row>
    <row r="265" ht="20" customHeight="1" spans="1:7" x14ac:dyDescent="0.25">
      <c r="A265" s="35" t="s">
        <v>32</v>
      </c>
      <c r="B265" s="36">
        <v>27</v>
      </c>
      <c r="C265" s="35" t="s">
        <v>383</v>
      </c>
      <c r="D265" s="37">
        <v>42.8</v>
      </c>
      <c r="E265" s="36">
        <v>2566</v>
      </c>
      <c r="F265" s="35" t="s">
        <v>1128</v>
      </c>
      <c r="G265" s="35" t="s">
        <v>1155</v>
      </c>
    </row>
    <row r="266" ht="20" customHeight="1" spans="1:7" x14ac:dyDescent="0.25">
      <c r="A266" s="17" t="s">
        <v>32</v>
      </c>
      <c r="B266" s="33">
        <v>28</v>
      </c>
      <c r="C266" s="17" t="s">
        <v>384</v>
      </c>
      <c r="D266" s="18">
        <v>24.8</v>
      </c>
      <c r="E266" s="33">
        <v>1487</v>
      </c>
      <c r="F266" s="17" t="s">
        <v>1128</v>
      </c>
      <c r="G266" s="17" t="s">
        <v>1156</v>
      </c>
    </row>
    <row r="267" ht="20" customHeight="1" spans="1:7" x14ac:dyDescent="0.25">
      <c r="A267" s="35" t="s">
        <v>32</v>
      </c>
      <c r="B267" s="36">
        <v>29</v>
      </c>
      <c r="C267" s="35" t="s">
        <v>408</v>
      </c>
      <c r="D267" s="37">
        <v>30.6</v>
      </c>
      <c r="E267" s="36">
        <v>1833</v>
      </c>
      <c r="F267" s="35" t="s">
        <v>1128</v>
      </c>
      <c r="G267" s="35" t="s">
        <v>1157</v>
      </c>
    </row>
    <row r="268" ht="20" customHeight="1" spans="1:7" x14ac:dyDescent="0.25">
      <c r="A268" s="17" t="s">
        <v>32</v>
      </c>
      <c r="B268" s="33">
        <v>30</v>
      </c>
      <c r="C268" s="17" t="s">
        <v>409</v>
      </c>
      <c r="D268" s="18">
        <v>38.3</v>
      </c>
      <c r="E268" s="33">
        <v>2298</v>
      </c>
      <c r="F268" s="17" t="s">
        <v>1128</v>
      </c>
      <c r="G268" s="17" t="s">
        <v>1158</v>
      </c>
    </row>
    <row r="269" ht="20" customHeight="1" spans="1:7" x14ac:dyDescent="0.25">
      <c r="A269" s="35" t="s">
        <v>32</v>
      </c>
      <c r="B269" s="36">
        <v>31</v>
      </c>
      <c r="C269" s="35" t="s">
        <v>433</v>
      </c>
      <c r="D269" s="37">
        <v>31.8</v>
      </c>
      <c r="E269" s="36">
        <v>1906</v>
      </c>
      <c r="F269" s="35" t="s">
        <v>1128</v>
      </c>
      <c r="G269" s="35" t="s">
        <v>1159</v>
      </c>
    </row>
    <row r="270" ht="20" customHeight="1" spans="1:7" x14ac:dyDescent="0.25">
      <c r="A270" s="17" t="s">
        <v>32</v>
      </c>
      <c r="B270" s="33">
        <v>32</v>
      </c>
      <c r="C270" s="17" t="s">
        <v>434</v>
      </c>
      <c r="D270" s="18">
        <v>42.7</v>
      </c>
      <c r="E270" s="33">
        <v>2560</v>
      </c>
      <c r="F270" s="17" t="s">
        <v>1128</v>
      </c>
      <c r="G270" s="17" t="s">
        <v>1160</v>
      </c>
    </row>
    <row r="271" ht="20" customHeight="1" spans="1:7" x14ac:dyDescent="0.25">
      <c r="A271" s="35" t="s">
        <v>32</v>
      </c>
      <c r="B271" s="36">
        <v>33</v>
      </c>
      <c r="C271" s="35" t="s">
        <v>459</v>
      </c>
      <c r="D271" s="37">
        <v>19.3</v>
      </c>
      <c r="E271" s="36">
        <v>1156</v>
      </c>
      <c r="F271" s="35" t="s">
        <v>1128</v>
      </c>
      <c r="G271" s="35" t="s">
        <v>1161</v>
      </c>
    </row>
    <row r="272" ht="20" customHeight="1" spans="1:7" x14ac:dyDescent="0.25">
      <c r="A272" s="17" t="s">
        <v>32</v>
      </c>
      <c r="B272" s="33">
        <v>34</v>
      </c>
      <c r="C272" s="17" t="s">
        <v>460</v>
      </c>
      <c r="D272" s="18">
        <v>35.8</v>
      </c>
      <c r="E272" s="33">
        <v>2149</v>
      </c>
      <c r="F272" s="17" t="s">
        <v>1128</v>
      </c>
      <c r="G272" s="17" t="s">
        <v>1162</v>
      </c>
    </row>
    <row r="273" ht="20" customHeight="1" spans="1:7" x14ac:dyDescent="0.25">
      <c r="A273" s="35" t="s">
        <v>32</v>
      </c>
      <c r="B273" s="36">
        <v>35</v>
      </c>
      <c r="C273" s="35" t="s">
        <v>483</v>
      </c>
      <c r="D273" s="37">
        <v>43.5</v>
      </c>
      <c r="E273" s="36">
        <v>2612</v>
      </c>
      <c r="F273" s="35" t="s">
        <v>1128</v>
      </c>
      <c r="G273" s="35" t="s">
        <v>1163</v>
      </c>
    </row>
    <row r="274" ht="20" customHeight="1" spans="1:7" x14ac:dyDescent="0.25">
      <c r="A274" s="17" t="s">
        <v>32</v>
      </c>
      <c r="B274" s="33">
        <v>36</v>
      </c>
      <c r="C274" s="17" t="s">
        <v>484</v>
      </c>
      <c r="D274" s="18">
        <v>49.9</v>
      </c>
      <c r="E274" s="33">
        <v>2993</v>
      </c>
      <c r="F274" s="17" t="s">
        <v>1128</v>
      </c>
      <c r="G274" s="17" t="s">
        <v>1164</v>
      </c>
    </row>
    <row r="275" ht="20" customHeight="1" spans="1:7" x14ac:dyDescent="0.25">
      <c r="A275" s="35" t="s">
        <v>32</v>
      </c>
      <c r="B275" s="36">
        <v>37</v>
      </c>
      <c r="C275" s="35" t="s">
        <v>506</v>
      </c>
      <c r="D275" s="37">
        <v>31.5</v>
      </c>
      <c r="E275" s="36">
        <v>1890</v>
      </c>
      <c r="F275" s="35" t="s">
        <v>1128</v>
      </c>
      <c r="G275" s="35" t="s">
        <v>1165</v>
      </c>
    </row>
    <row r="276" ht="20" customHeight="1" spans="1:7" x14ac:dyDescent="0.25">
      <c r="A276" s="17" t="s">
        <v>32</v>
      </c>
      <c r="B276" s="33">
        <v>38</v>
      </c>
      <c r="C276" s="17" t="s">
        <v>507</v>
      </c>
      <c r="D276" s="18">
        <v>29.7</v>
      </c>
      <c r="E276" s="33">
        <v>1783</v>
      </c>
      <c r="F276" s="17" t="s">
        <v>1128</v>
      </c>
      <c r="G276" s="17" t="s">
        <v>1166</v>
      </c>
    </row>
    <row r="277" ht="20" customHeight="1" spans="1:7" x14ac:dyDescent="0.25">
      <c r="A277" s="35" t="s">
        <v>32</v>
      </c>
      <c r="B277" s="36">
        <v>39</v>
      </c>
      <c r="C277" s="35" t="s">
        <v>529</v>
      </c>
      <c r="D277" s="37">
        <v>45.1</v>
      </c>
      <c r="E277" s="36">
        <v>2707</v>
      </c>
      <c r="F277" s="35" t="s">
        <v>1128</v>
      </c>
      <c r="G277" s="35" t="s">
        <v>1167</v>
      </c>
    </row>
    <row r="278" ht="20" customHeight="1" spans="1:7" x14ac:dyDescent="0.25">
      <c r="A278" s="17" t="s">
        <v>32</v>
      </c>
      <c r="B278" s="33">
        <v>40</v>
      </c>
      <c r="C278" s="17" t="s">
        <v>530</v>
      </c>
      <c r="D278" s="18">
        <v>34.6</v>
      </c>
      <c r="E278" s="33">
        <v>2077</v>
      </c>
      <c r="F278" s="17" t="s">
        <v>1128</v>
      </c>
      <c r="G278" s="17" t="s">
        <v>1168</v>
      </c>
    </row>
    <row r="279" ht="20" customHeight="1" spans="1:7" x14ac:dyDescent="0.25">
      <c r="A279" s="35" t="s">
        <v>32</v>
      </c>
      <c r="B279" s="36">
        <v>41</v>
      </c>
      <c r="C279" s="35" t="s">
        <v>552</v>
      </c>
      <c r="D279" s="37">
        <v>39.5</v>
      </c>
      <c r="E279" s="36">
        <v>2373</v>
      </c>
      <c r="F279" s="35" t="s">
        <v>1128</v>
      </c>
      <c r="G279" s="35" t="s">
        <v>1169</v>
      </c>
    </row>
    <row r="280" ht="20" customHeight="1" spans="1:7" x14ac:dyDescent="0.25">
      <c r="A280" s="17" t="s">
        <v>32</v>
      </c>
      <c r="B280" s="33">
        <v>42</v>
      </c>
      <c r="C280" s="17" t="s">
        <v>553</v>
      </c>
      <c r="D280" s="18">
        <v>37.2</v>
      </c>
      <c r="E280" s="33">
        <v>2230</v>
      </c>
      <c r="F280" s="17" t="s">
        <v>1128</v>
      </c>
      <c r="G280" s="17" t="s">
        <v>1170</v>
      </c>
    </row>
    <row r="281" ht="20" customHeight="1" spans="1:7" x14ac:dyDescent="0.25">
      <c r="A281" s="35" t="s">
        <v>32</v>
      </c>
      <c r="B281" s="36">
        <v>43</v>
      </c>
      <c r="C281" s="35" t="s">
        <v>572</v>
      </c>
      <c r="D281" s="37">
        <v>34.9</v>
      </c>
      <c r="E281" s="36">
        <v>2093</v>
      </c>
      <c r="F281" s="35" t="s">
        <v>1128</v>
      </c>
      <c r="G281" s="35" t="s">
        <v>1171</v>
      </c>
    </row>
    <row r="282" ht="20" customHeight="1" spans="1:7" x14ac:dyDescent="0.25">
      <c r="A282" s="17" t="s">
        <v>32</v>
      </c>
      <c r="B282" s="33">
        <v>44</v>
      </c>
      <c r="C282" s="17" t="s">
        <v>573</v>
      </c>
      <c r="D282" s="18">
        <v>30.2</v>
      </c>
      <c r="E282" s="33">
        <v>1810</v>
      </c>
      <c r="F282" s="17" t="s">
        <v>1128</v>
      </c>
      <c r="G282" s="17" t="s">
        <v>1172</v>
      </c>
    </row>
    <row r="283" ht="20" customHeight="1" spans="1:7" x14ac:dyDescent="0.25">
      <c r="A283" s="35" t="s">
        <v>32</v>
      </c>
      <c r="B283" s="36">
        <v>45</v>
      </c>
      <c r="C283" s="35" t="s">
        <v>591</v>
      </c>
      <c r="D283" s="37">
        <v>39.3</v>
      </c>
      <c r="E283" s="36">
        <v>2360</v>
      </c>
      <c r="F283" s="35" t="s">
        <v>1128</v>
      </c>
      <c r="G283" s="35" t="s">
        <v>1173</v>
      </c>
    </row>
    <row r="284" ht="20" customHeight="1" spans="1:7" x14ac:dyDescent="0.25">
      <c r="A284" s="17" t="s">
        <v>32</v>
      </c>
      <c r="B284" s="33">
        <v>46</v>
      </c>
      <c r="C284" s="17" t="s">
        <v>592</v>
      </c>
      <c r="D284" s="18">
        <v>48.3</v>
      </c>
      <c r="E284" s="33">
        <v>2897</v>
      </c>
      <c r="F284" s="17" t="s">
        <v>1128</v>
      </c>
      <c r="G284" s="17" t="s">
        <v>1174</v>
      </c>
    </row>
    <row r="285" ht="20" customHeight="1" spans="1:7" x14ac:dyDescent="0.25">
      <c r="A285" s="35" t="s">
        <v>32</v>
      </c>
      <c r="B285" s="36">
        <v>47</v>
      </c>
      <c r="C285" s="35" t="s">
        <v>610</v>
      </c>
      <c r="D285" s="37">
        <v>46.4</v>
      </c>
      <c r="E285" s="36">
        <v>2783</v>
      </c>
      <c r="F285" s="35" t="s">
        <v>1128</v>
      </c>
      <c r="G285" s="35" t="s">
        <v>1175</v>
      </c>
    </row>
    <row r="286" ht="20" customHeight="1" spans="1:7" x14ac:dyDescent="0.25">
      <c r="A286" s="17" t="s">
        <v>32</v>
      </c>
      <c r="B286" s="33">
        <v>48</v>
      </c>
      <c r="C286" s="17" t="s">
        <v>611</v>
      </c>
      <c r="D286" s="18">
        <v>20</v>
      </c>
      <c r="E286" s="33">
        <v>1200</v>
      </c>
      <c r="F286" s="17" t="s">
        <v>1128</v>
      </c>
      <c r="G286" s="17" t="s">
        <v>1176</v>
      </c>
    </row>
    <row r="287" ht="20" customHeight="1" spans="1:7" x14ac:dyDescent="0.25">
      <c r="A287" s="35" t="s">
        <v>32</v>
      </c>
      <c r="B287" s="36">
        <v>49</v>
      </c>
      <c r="C287" s="35" t="s">
        <v>629</v>
      </c>
      <c r="D287" s="37">
        <v>28.6</v>
      </c>
      <c r="E287" s="36">
        <v>1715</v>
      </c>
      <c r="F287" s="35" t="s">
        <v>1128</v>
      </c>
      <c r="G287" s="35" t="s">
        <v>1177</v>
      </c>
    </row>
    <row r="288" ht="20" customHeight="1" spans="1:7" x14ac:dyDescent="0.25">
      <c r="A288" s="17" t="s">
        <v>32</v>
      </c>
      <c r="B288" s="33">
        <v>50</v>
      </c>
      <c r="C288" s="17" t="s">
        <v>630</v>
      </c>
      <c r="D288" s="18">
        <v>37.5</v>
      </c>
      <c r="E288" s="33">
        <v>2253</v>
      </c>
      <c r="F288" s="17" t="s">
        <v>1128</v>
      </c>
      <c r="G288" s="17" t="s">
        <v>1178</v>
      </c>
    </row>
    <row r="289" ht="20" customHeight="1" spans="1:7" x14ac:dyDescent="0.25">
      <c r="A289" s="35" t="s">
        <v>32</v>
      </c>
      <c r="B289" s="36">
        <v>51</v>
      </c>
      <c r="C289" s="35" t="s">
        <v>648</v>
      </c>
      <c r="D289" s="37">
        <v>43.4</v>
      </c>
      <c r="E289" s="36">
        <v>2604</v>
      </c>
      <c r="F289" s="35" t="s">
        <v>1128</v>
      </c>
      <c r="G289" s="35" t="s">
        <v>1179</v>
      </c>
    </row>
    <row r="290" ht="20" customHeight="1" spans="1:7" x14ac:dyDescent="0.25">
      <c r="A290" s="17" t="s">
        <v>32</v>
      </c>
      <c r="B290" s="33">
        <v>52</v>
      </c>
      <c r="C290" s="17" t="s">
        <v>649</v>
      </c>
      <c r="D290" s="18">
        <v>29</v>
      </c>
      <c r="E290" s="33">
        <v>1741</v>
      </c>
      <c r="F290" s="17" t="s">
        <v>1128</v>
      </c>
      <c r="G290" s="17" t="s">
        <v>1180</v>
      </c>
    </row>
    <row r="291" ht="20" customHeight="1" spans="1:7" x14ac:dyDescent="0.25">
      <c r="A291" s="35" t="s">
        <v>32</v>
      </c>
      <c r="B291" s="36">
        <v>53</v>
      </c>
      <c r="C291" s="35" t="s">
        <v>667</v>
      </c>
      <c r="D291" s="37">
        <v>70.8</v>
      </c>
      <c r="E291" s="36">
        <v>4246</v>
      </c>
      <c r="F291" s="35" t="s">
        <v>1128</v>
      </c>
      <c r="G291" s="35" t="s">
        <v>1181</v>
      </c>
    </row>
    <row r="292" ht="20" customHeight="1" spans="1:7" x14ac:dyDescent="0.25">
      <c r="A292" s="17" t="s">
        <v>32</v>
      </c>
      <c r="B292" s="33">
        <v>54</v>
      </c>
      <c r="C292" s="17" t="s">
        <v>668</v>
      </c>
      <c r="D292" s="18">
        <v>40.6</v>
      </c>
      <c r="E292" s="33">
        <v>2438</v>
      </c>
      <c r="F292" s="17" t="s">
        <v>1128</v>
      </c>
      <c r="G292" s="17" t="s">
        <v>1182</v>
      </c>
    </row>
    <row r="293" ht="20" customHeight="1" spans="1:7" x14ac:dyDescent="0.25">
      <c r="A293" s="35" t="s">
        <v>32</v>
      </c>
      <c r="B293" s="36">
        <v>55</v>
      </c>
      <c r="C293" s="35" t="s">
        <v>686</v>
      </c>
      <c r="D293" s="37">
        <v>57.9</v>
      </c>
      <c r="E293" s="36">
        <v>3472</v>
      </c>
      <c r="F293" s="35" t="s">
        <v>1128</v>
      </c>
      <c r="G293" s="35" t="s">
        <v>1183</v>
      </c>
    </row>
    <row r="294" ht="20" customHeight="1" spans="1:7" x14ac:dyDescent="0.25">
      <c r="A294" s="17" t="s">
        <v>32</v>
      </c>
      <c r="B294" s="33">
        <v>56</v>
      </c>
      <c r="C294" s="17" t="s">
        <v>687</v>
      </c>
      <c r="D294" s="18">
        <v>29.9</v>
      </c>
      <c r="E294" s="33">
        <v>1791</v>
      </c>
      <c r="F294" s="17" t="s">
        <v>1128</v>
      </c>
      <c r="G294" s="17" t="s">
        <v>1184</v>
      </c>
    </row>
    <row r="295" ht="20" customHeight="1" spans="1:7" x14ac:dyDescent="0.25">
      <c r="A295" s="35" t="s">
        <v>32</v>
      </c>
      <c r="B295" s="36">
        <v>57</v>
      </c>
      <c r="C295" s="35" t="s">
        <v>705</v>
      </c>
      <c r="D295" s="37">
        <v>55.8</v>
      </c>
      <c r="E295" s="36">
        <v>3350</v>
      </c>
      <c r="F295" s="35" t="s">
        <v>1128</v>
      </c>
      <c r="G295" s="35" t="s">
        <v>1185</v>
      </c>
    </row>
    <row r="296" ht="20" customHeight="1" spans="1:7" x14ac:dyDescent="0.25">
      <c r="A296" s="17" t="s">
        <v>32</v>
      </c>
      <c r="B296" s="33">
        <v>58</v>
      </c>
      <c r="C296" s="17" t="s">
        <v>706</v>
      </c>
      <c r="D296" s="18">
        <v>34.5</v>
      </c>
      <c r="E296" s="33">
        <v>2071</v>
      </c>
      <c r="F296" s="17" t="s">
        <v>1128</v>
      </c>
      <c r="G296" s="17" t="s">
        <v>1186</v>
      </c>
    </row>
    <row r="297" ht="20" customHeight="1" spans="1:7" x14ac:dyDescent="0.25">
      <c r="A297" s="35" t="s">
        <v>32</v>
      </c>
      <c r="B297" s="36">
        <v>59</v>
      </c>
      <c r="C297" s="35" t="s">
        <v>724</v>
      </c>
      <c r="D297" s="37">
        <v>85.8</v>
      </c>
      <c r="E297" s="36">
        <v>5147</v>
      </c>
      <c r="F297" s="35" t="s">
        <v>1128</v>
      </c>
      <c r="G297" s="35" t="s">
        <v>1187</v>
      </c>
    </row>
    <row r="298" ht="20" customHeight="1" spans="1:7" x14ac:dyDescent="0.25">
      <c r="A298" s="17" t="s">
        <v>32</v>
      </c>
      <c r="B298" s="33">
        <v>60</v>
      </c>
      <c r="C298" s="17" t="s">
        <v>725</v>
      </c>
      <c r="D298" s="18">
        <v>35.4</v>
      </c>
      <c r="E298" s="33">
        <v>2124</v>
      </c>
      <c r="F298" s="17" t="s">
        <v>1128</v>
      </c>
      <c r="G298" s="17" t="s">
        <v>1188</v>
      </c>
    </row>
    <row r="299" ht="20" customHeight="1" spans="1:7" x14ac:dyDescent="0.25">
      <c r="A299" s="35" t="s">
        <v>449</v>
      </c>
      <c r="B299" s="36">
        <v>1</v>
      </c>
      <c r="C299" s="35" t="s">
        <v>450</v>
      </c>
      <c r="D299" s="37">
        <v>13.5</v>
      </c>
      <c r="E299" s="36">
        <v>811</v>
      </c>
      <c r="F299" s="35" t="s">
        <v>1128</v>
      </c>
      <c r="G299" s="35" t="s">
        <v>1189</v>
      </c>
    </row>
    <row r="300" ht="20" customHeight="1" spans="1:7" x14ac:dyDescent="0.25">
      <c r="A300" s="17" t="s">
        <v>449</v>
      </c>
      <c r="B300" s="33">
        <v>2</v>
      </c>
      <c r="C300" s="17" t="s">
        <v>451</v>
      </c>
      <c r="D300" s="18">
        <v>30</v>
      </c>
      <c r="E300" s="33">
        <v>1800</v>
      </c>
      <c r="F300" s="17" t="s">
        <v>1128</v>
      </c>
      <c r="G300" s="17" t="s">
        <v>1190</v>
      </c>
    </row>
    <row r="301" ht="20" customHeight="1" spans="1:7" x14ac:dyDescent="0.25">
      <c r="A301" s="35" t="s">
        <v>449</v>
      </c>
      <c r="B301" s="36">
        <v>3</v>
      </c>
      <c r="C301" s="35" t="s">
        <v>474</v>
      </c>
      <c r="D301" s="37">
        <v>20.9</v>
      </c>
      <c r="E301" s="36">
        <v>1252</v>
      </c>
      <c r="F301" s="35" t="s">
        <v>1128</v>
      </c>
      <c r="G301" s="35" t="s">
        <v>1191</v>
      </c>
    </row>
    <row r="302" ht="20" customHeight="1" spans="1:7" x14ac:dyDescent="0.25">
      <c r="A302" s="17" t="s">
        <v>449</v>
      </c>
      <c r="B302" s="33">
        <v>4</v>
      </c>
      <c r="C302" s="17" t="s">
        <v>475</v>
      </c>
      <c r="D302" s="18">
        <v>25</v>
      </c>
      <c r="E302" s="33">
        <v>1499</v>
      </c>
      <c r="F302" s="17" t="s">
        <v>1128</v>
      </c>
      <c r="G302" s="17" t="s">
        <v>1192</v>
      </c>
    </row>
    <row r="303" ht="20" customHeight="1" spans="1:7" x14ac:dyDescent="0.25">
      <c r="A303" s="35" t="s">
        <v>449</v>
      </c>
      <c r="B303" s="36">
        <v>5</v>
      </c>
      <c r="C303" s="35" t="s">
        <v>497</v>
      </c>
      <c r="D303" s="37">
        <v>14.7</v>
      </c>
      <c r="E303" s="36">
        <v>883</v>
      </c>
      <c r="F303" s="35" t="s">
        <v>1128</v>
      </c>
      <c r="G303" s="35" t="s">
        <v>1193</v>
      </c>
    </row>
    <row r="304" ht="20" customHeight="1" spans="1:7" x14ac:dyDescent="0.25">
      <c r="A304" s="17" t="s">
        <v>449</v>
      </c>
      <c r="B304" s="33">
        <v>6</v>
      </c>
      <c r="C304" s="17" t="s">
        <v>498</v>
      </c>
      <c r="D304" s="18">
        <v>33</v>
      </c>
      <c r="E304" s="33">
        <v>1982</v>
      </c>
      <c r="F304" s="17" t="s">
        <v>1128</v>
      </c>
      <c r="G304" s="17" t="s">
        <v>1194</v>
      </c>
    </row>
    <row r="305" ht="20" customHeight="1" spans="1:7" x14ac:dyDescent="0.25">
      <c r="A305" s="35" t="s">
        <v>449</v>
      </c>
      <c r="B305" s="36">
        <v>7</v>
      </c>
      <c r="C305" s="35" t="s">
        <v>520</v>
      </c>
      <c r="D305" s="37">
        <v>24</v>
      </c>
      <c r="E305" s="36">
        <v>1441</v>
      </c>
      <c r="F305" s="35" t="s">
        <v>1128</v>
      </c>
      <c r="G305" s="35" t="s">
        <v>1195</v>
      </c>
    </row>
    <row r="306" ht="20" customHeight="1" spans="1:7" x14ac:dyDescent="0.25">
      <c r="A306" s="17" t="s">
        <v>449</v>
      </c>
      <c r="B306" s="33">
        <v>8</v>
      </c>
      <c r="C306" s="17" t="s">
        <v>521</v>
      </c>
      <c r="D306" s="18">
        <v>20.9</v>
      </c>
      <c r="E306" s="33">
        <v>1254</v>
      </c>
      <c r="F306" s="17" t="s">
        <v>1128</v>
      </c>
      <c r="G306" s="17" t="s">
        <v>1196</v>
      </c>
    </row>
    <row r="307" ht="20" customHeight="1" spans="1:7" x14ac:dyDescent="0.25">
      <c r="A307" s="35" t="s">
        <v>449</v>
      </c>
      <c r="B307" s="36">
        <v>9</v>
      </c>
      <c r="C307" s="35" t="s">
        <v>543</v>
      </c>
      <c r="D307" s="37">
        <v>18.6</v>
      </c>
      <c r="E307" s="36">
        <v>1116</v>
      </c>
      <c r="F307" s="35" t="s">
        <v>1128</v>
      </c>
      <c r="G307" s="35" t="s">
        <v>1197</v>
      </c>
    </row>
    <row r="308" ht="20" customHeight="1" spans="1:7" x14ac:dyDescent="0.25">
      <c r="A308" s="17" t="s">
        <v>449</v>
      </c>
      <c r="B308" s="33">
        <v>10</v>
      </c>
      <c r="C308" s="17" t="s">
        <v>544</v>
      </c>
      <c r="D308" s="18">
        <v>36.2</v>
      </c>
      <c r="E308" s="33">
        <v>2175</v>
      </c>
      <c r="F308" s="17" t="s">
        <v>1128</v>
      </c>
      <c r="G308" s="17" t="s">
        <v>1198</v>
      </c>
    </row>
    <row r="309" ht="20" customHeight="1" spans="1:7" x14ac:dyDescent="0.25">
      <c r="A309" s="35" t="s">
        <v>449</v>
      </c>
      <c r="B309" s="36">
        <v>11</v>
      </c>
      <c r="C309" s="35" t="s">
        <v>564</v>
      </c>
      <c r="D309" s="37">
        <v>40.8</v>
      </c>
      <c r="E309" s="36">
        <v>2448</v>
      </c>
      <c r="F309" s="35" t="s">
        <v>1128</v>
      </c>
      <c r="G309" s="35" t="s">
        <v>1199</v>
      </c>
    </row>
    <row r="310" ht="20" customHeight="1" spans="1:7" x14ac:dyDescent="0.25">
      <c r="A310" s="17" t="s">
        <v>449</v>
      </c>
      <c r="B310" s="33">
        <v>12</v>
      </c>
      <c r="C310" s="17" t="s">
        <v>565</v>
      </c>
      <c r="D310" s="18">
        <v>25.8</v>
      </c>
      <c r="E310" s="33">
        <v>1547</v>
      </c>
      <c r="F310" s="17" t="s">
        <v>1128</v>
      </c>
      <c r="G310" s="17" t="s">
        <v>1200</v>
      </c>
    </row>
    <row r="311" ht="20" customHeight="1" spans="1:7" x14ac:dyDescent="0.25">
      <c r="A311" s="35" t="s">
        <v>449</v>
      </c>
      <c r="B311" s="36">
        <v>13</v>
      </c>
      <c r="C311" s="35" t="s">
        <v>584</v>
      </c>
      <c r="D311" s="37">
        <v>45.5</v>
      </c>
      <c r="E311" s="36">
        <v>2728</v>
      </c>
      <c r="F311" s="35" t="s">
        <v>1128</v>
      </c>
      <c r="G311" s="35" t="s">
        <v>1201</v>
      </c>
    </row>
    <row r="312" ht="20" customHeight="1" spans="1:7" x14ac:dyDescent="0.25">
      <c r="A312" s="17" t="s">
        <v>449</v>
      </c>
      <c r="B312" s="33">
        <v>14</v>
      </c>
      <c r="C312" s="17" t="s">
        <v>585</v>
      </c>
      <c r="D312" s="18">
        <v>40</v>
      </c>
      <c r="E312" s="33">
        <v>2398</v>
      </c>
      <c r="F312" s="17" t="s">
        <v>1128</v>
      </c>
      <c r="G312" s="17" t="s">
        <v>1202</v>
      </c>
    </row>
    <row r="313" ht="20" customHeight="1" spans="1:7" x14ac:dyDescent="0.25">
      <c r="A313" s="35" t="s">
        <v>449</v>
      </c>
      <c r="B313" s="36">
        <v>15</v>
      </c>
      <c r="C313" s="35" t="s">
        <v>603</v>
      </c>
      <c r="D313" s="37">
        <v>44.6</v>
      </c>
      <c r="E313" s="36">
        <v>2675</v>
      </c>
      <c r="F313" s="35" t="s">
        <v>1128</v>
      </c>
      <c r="G313" s="35" t="s">
        <v>1203</v>
      </c>
    </row>
    <row r="314" ht="20" customHeight="1" spans="1:7" x14ac:dyDescent="0.25">
      <c r="A314" s="17" t="s">
        <v>449</v>
      </c>
      <c r="B314" s="33">
        <v>16</v>
      </c>
      <c r="C314" s="17" t="s">
        <v>604</v>
      </c>
      <c r="D314" s="18">
        <v>48</v>
      </c>
      <c r="E314" s="33">
        <v>2877</v>
      </c>
      <c r="F314" s="17" t="s">
        <v>1128</v>
      </c>
      <c r="G314" s="17" t="s">
        <v>1204</v>
      </c>
    </row>
    <row r="315" ht="20" customHeight="1" spans="1:7" x14ac:dyDescent="0.25">
      <c r="A315" s="35" t="s">
        <v>449</v>
      </c>
      <c r="B315" s="36">
        <v>17</v>
      </c>
      <c r="C315" s="35" t="s">
        <v>622</v>
      </c>
      <c r="D315" s="37">
        <v>17.6</v>
      </c>
      <c r="E315" s="36">
        <v>1053</v>
      </c>
      <c r="F315" s="35" t="s">
        <v>1128</v>
      </c>
      <c r="G315" s="35" t="s">
        <v>1205</v>
      </c>
    </row>
    <row r="316" ht="20" customHeight="1" spans="1:7" x14ac:dyDescent="0.25">
      <c r="A316" s="17" t="s">
        <v>449</v>
      </c>
      <c r="B316" s="33">
        <v>18</v>
      </c>
      <c r="C316" s="17" t="s">
        <v>623</v>
      </c>
      <c r="D316" s="18">
        <v>33</v>
      </c>
      <c r="E316" s="33">
        <v>1983</v>
      </c>
      <c r="F316" s="17" t="s">
        <v>1128</v>
      </c>
      <c r="G316" s="17" t="s">
        <v>1206</v>
      </c>
    </row>
    <row r="317" ht="20" customHeight="1" spans="1:7" x14ac:dyDescent="0.25">
      <c r="A317" s="35" t="s">
        <v>449</v>
      </c>
      <c r="B317" s="36">
        <v>19</v>
      </c>
      <c r="C317" s="35" t="s">
        <v>641</v>
      </c>
      <c r="D317" s="37">
        <v>65.4</v>
      </c>
      <c r="E317" s="36">
        <v>3923</v>
      </c>
      <c r="F317" s="35" t="s">
        <v>1128</v>
      </c>
      <c r="G317" s="35" t="s">
        <v>1207</v>
      </c>
    </row>
    <row r="318" ht="20" customHeight="1" spans="1:7" x14ac:dyDescent="0.25">
      <c r="A318" s="17" t="s">
        <v>449</v>
      </c>
      <c r="B318" s="33">
        <v>20</v>
      </c>
      <c r="C318" s="17" t="s">
        <v>642</v>
      </c>
      <c r="D318" s="18">
        <v>19.2</v>
      </c>
      <c r="E318" s="33">
        <v>1151</v>
      </c>
      <c r="F318" s="17" t="s">
        <v>1128</v>
      </c>
      <c r="G318" s="17" t="s">
        <v>1208</v>
      </c>
    </row>
    <row r="319" ht="20" customHeight="1" spans="1:7" x14ac:dyDescent="0.25">
      <c r="A319" s="35" t="s">
        <v>449</v>
      </c>
      <c r="B319" s="36">
        <v>21</v>
      </c>
      <c r="C319" s="35" t="s">
        <v>660</v>
      </c>
      <c r="D319" s="37">
        <v>47.6</v>
      </c>
      <c r="E319" s="36">
        <v>2856</v>
      </c>
      <c r="F319" s="35" t="s">
        <v>1128</v>
      </c>
      <c r="G319" s="35" t="s">
        <v>1209</v>
      </c>
    </row>
    <row r="320" ht="20" customHeight="1" spans="1:7" x14ac:dyDescent="0.25">
      <c r="A320" s="17" t="s">
        <v>449</v>
      </c>
      <c r="B320" s="33">
        <v>22</v>
      </c>
      <c r="C320" s="17" t="s">
        <v>661</v>
      </c>
      <c r="D320" s="18">
        <v>39.5</v>
      </c>
      <c r="E320" s="33">
        <v>2369</v>
      </c>
      <c r="F320" s="17" t="s">
        <v>1128</v>
      </c>
      <c r="G320" s="17" t="s">
        <v>1210</v>
      </c>
    </row>
    <row r="321" ht="20" customHeight="1" spans="1:7" x14ac:dyDescent="0.25">
      <c r="A321" s="35" t="s">
        <v>449</v>
      </c>
      <c r="B321" s="36">
        <v>23</v>
      </c>
      <c r="C321" s="35" t="s">
        <v>679</v>
      </c>
      <c r="D321" s="37">
        <v>19.1</v>
      </c>
      <c r="E321" s="36">
        <v>1143</v>
      </c>
      <c r="F321" s="35" t="s">
        <v>1128</v>
      </c>
      <c r="G321" s="35" t="s">
        <v>1211</v>
      </c>
    </row>
    <row r="322" ht="20" customHeight="1" spans="1:7" x14ac:dyDescent="0.25">
      <c r="A322" s="17" t="s">
        <v>449</v>
      </c>
      <c r="B322" s="33">
        <v>24</v>
      </c>
      <c r="C322" s="17" t="s">
        <v>680</v>
      </c>
      <c r="D322" s="18">
        <v>42</v>
      </c>
      <c r="E322" s="33">
        <v>2523</v>
      </c>
      <c r="F322" s="17" t="s">
        <v>1128</v>
      </c>
      <c r="G322" s="17" t="s">
        <v>1212</v>
      </c>
    </row>
    <row r="323" ht="20" customHeight="1" spans="1:7" x14ac:dyDescent="0.25">
      <c r="A323" s="35" t="s">
        <v>449</v>
      </c>
      <c r="B323" s="36">
        <v>25</v>
      </c>
      <c r="C323" s="35" t="s">
        <v>698</v>
      </c>
      <c r="D323" s="37">
        <v>38.3</v>
      </c>
      <c r="E323" s="36">
        <v>2298</v>
      </c>
      <c r="F323" s="35" t="s">
        <v>1128</v>
      </c>
      <c r="G323" s="35" t="s">
        <v>1213</v>
      </c>
    </row>
    <row r="324" ht="20" customHeight="1" spans="1:7" x14ac:dyDescent="0.25">
      <c r="A324" s="17" t="s">
        <v>449</v>
      </c>
      <c r="B324" s="33">
        <v>26</v>
      </c>
      <c r="C324" s="17" t="s">
        <v>699</v>
      </c>
      <c r="D324" s="18">
        <v>18.2</v>
      </c>
      <c r="E324" s="33">
        <v>1090</v>
      </c>
      <c r="F324" s="17" t="s">
        <v>1128</v>
      </c>
      <c r="G324" s="17" t="s">
        <v>1214</v>
      </c>
    </row>
    <row r="325" ht="20" customHeight="1" spans="1:7" x14ac:dyDescent="0.25">
      <c r="A325" s="35" t="s">
        <v>449</v>
      </c>
      <c r="B325" s="36">
        <v>27</v>
      </c>
      <c r="C325" s="35" t="s">
        <v>717</v>
      </c>
      <c r="D325" s="37">
        <v>46.4</v>
      </c>
      <c r="E325" s="36">
        <v>2783</v>
      </c>
      <c r="F325" s="35" t="s">
        <v>1128</v>
      </c>
      <c r="G325" s="35" t="s">
        <v>1215</v>
      </c>
    </row>
    <row r="326" ht="20" customHeight="1" spans="1:7" x14ac:dyDescent="0.25">
      <c r="A326" s="17" t="s">
        <v>449</v>
      </c>
      <c r="B326" s="33">
        <v>28</v>
      </c>
      <c r="C326" s="17" t="s">
        <v>718</v>
      </c>
      <c r="D326" s="18">
        <v>38.4</v>
      </c>
      <c r="E326" s="33">
        <v>2303</v>
      </c>
      <c r="F326" s="17" t="s">
        <v>1128</v>
      </c>
      <c r="G326" s="17" t="s">
        <v>1216</v>
      </c>
    </row>
    <row r="327" ht="20" customHeight="1" spans="1:7" x14ac:dyDescent="0.25">
      <c r="A327" s="35" t="s">
        <v>449</v>
      </c>
      <c r="B327" s="36">
        <v>29</v>
      </c>
      <c r="C327" s="35" t="s">
        <v>734</v>
      </c>
      <c r="D327" s="37">
        <v>42.8</v>
      </c>
      <c r="E327" s="36">
        <v>2565</v>
      </c>
      <c r="F327" s="35" t="s">
        <v>1128</v>
      </c>
      <c r="G327" s="35" t="s">
        <v>1217</v>
      </c>
    </row>
    <row r="328" ht="20" customHeight="1" spans="1:7" x14ac:dyDescent="0.25">
      <c r="A328" s="17" t="s">
        <v>449</v>
      </c>
      <c r="B328" s="33">
        <v>30</v>
      </c>
      <c r="C328" s="17" t="s">
        <v>735</v>
      </c>
      <c r="D328" s="18">
        <v>32.9</v>
      </c>
      <c r="E328" s="33">
        <v>1971</v>
      </c>
      <c r="F328" s="17" t="s">
        <v>1128</v>
      </c>
      <c r="G328" s="17" t="s">
        <v>1218</v>
      </c>
    </row>
    <row r="329" ht="20" customHeight="1" spans="1:7" x14ac:dyDescent="0.25">
      <c r="A329" s="35" t="s">
        <v>449</v>
      </c>
      <c r="B329" s="36">
        <v>31</v>
      </c>
      <c r="C329" s="35" t="s">
        <v>747</v>
      </c>
      <c r="D329" s="37">
        <v>28.7</v>
      </c>
      <c r="E329" s="36">
        <v>1721</v>
      </c>
      <c r="F329" s="35" t="s">
        <v>1128</v>
      </c>
      <c r="G329" s="35" t="s">
        <v>1219</v>
      </c>
    </row>
    <row r="330" ht="20" customHeight="1" spans="1:7" x14ac:dyDescent="0.25">
      <c r="A330" s="17" t="s">
        <v>449</v>
      </c>
      <c r="B330" s="33">
        <v>32</v>
      </c>
      <c r="C330" s="17" t="s">
        <v>748</v>
      </c>
      <c r="D330" s="18">
        <v>34.1</v>
      </c>
      <c r="E330" s="33">
        <v>2046</v>
      </c>
      <c r="F330" s="17" t="s">
        <v>1128</v>
      </c>
      <c r="G330" s="17" t="s">
        <v>1220</v>
      </c>
    </row>
    <row r="331" ht="20" customHeight="1" spans="1:7" x14ac:dyDescent="0.25">
      <c r="A331" s="35" t="s">
        <v>449</v>
      </c>
      <c r="B331" s="36">
        <v>33</v>
      </c>
      <c r="C331" s="35" t="s">
        <v>760</v>
      </c>
      <c r="D331" s="37">
        <v>22</v>
      </c>
      <c r="E331" s="36">
        <v>1318</v>
      </c>
      <c r="F331" s="35" t="s">
        <v>1128</v>
      </c>
      <c r="G331" s="35" t="s">
        <v>1221</v>
      </c>
    </row>
    <row r="332" ht="20" customHeight="1" spans="1:7" x14ac:dyDescent="0.25">
      <c r="A332" s="17" t="s">
        <v>449</v>
      </c>
      <c r="B332" s="33">
        <v>34</v>
      </c>
      <c r="C332" s="17" t="s">
        <v>761</v>
      </c>
      <c r="D332" s="18">
        <v>65.6</v>
      </c>
      <c r="E332" s="33">
        <v>3936</v>
      </c>
      <c r="F332" s="17" t="s">
        <v>1128</v>
      </c>
      <c r="G332" s="17" t="s">
        <v>1222</v>
      </c>
    </row>
    <row r="333" ht="20" customHeight="1" spans="1:7" x14ac:dyDescent="0.25">
      <c r="A333" s="35" t="s">
        <v>449</v>
      </c>
      <c r="B333" s="36">
        <v>35</v>
      </c>
      <c r="C333" s="35" t="s">
        <v>773</v>
      </c>
      <c r="D333" s="37">
        <v>81.2</v>
      </c>
      <c r="E333" s="36">
        <v>4869</v>
      </c>
      <c r="F333" s="35" t="s">
        <v>1128</v>
      </c>
      <c r="G333" s="35" t="s">
        <v>1223</v>
      </c>
    </row>
    <row r="334" ht="20" customHeight="1" spans="1:7" x14ac:dyDescent="0.25">
      <c r="A334" s="17" t="s">
        <v>449</v>
      </c>
      <c r="B334" s="33">
        <v>36</v>
      </c>
      <c r="C334" s="17" t="s">
        <v>774</v>
      </c>
      <c r="D334" s="18">
        <v>47.5</v>
      </c>
      <c r="E334" s="33">
        <v>2853</v>
      </c>
      <c r="F334" s="17" t="s">
        <v>1128</v>
      </c>
      <c r="G334" s="17" t="s">
        <v>1224</v>
      </c>
    </row>
    <row r="335" ht="20" customHeight="1" spans="1:7" x14ac:dyDescent="0.25">
      <c r="A335" s="35" t="s">
        <v>449</v>
      </c>
      <c r="B335" s="36">
        <v>37</v>
      </c>
      <c r="C335" s="35" t="s">
        <v>786</v>
      </c>
      <c r="D335" s="37">
        <v>43.5</v>
      </c>
      <c r="E335" s="36">
        <v>2613</v>
      </c>
      <c r="F335" s="35" t="s">
        <v>1128</v>
      </c>
      <c r="G335" s="35" t="s">
        <v>1225</v>
      </c>
    </row>
    <row r="336" ht="20" customHeight="1" spans="1:7" x14ac:dyDescent="0.25">
      <c r="A336" s="17" t="s">
        <v>449</v>
      </c>
      <c r="B336" s="33">
        <v>38</v>
      </c>
      <c r="C336" s="17" t="s">
        <v>787</v>
      </c>
      <c r="D336" s="18">
        <v>38</v>
      </c>
      <c r="E336" s="33">
        <v>2281</v>
      </c>
      <c r="F336" s="17" t="s">
        <v>1128</v>
      </c>
      <c r="G336" s="17" t="s">
        <v>1226</v>
      </c>
    </row>
    <row r="337" ht="20" customHeight="1" spans="1:7" x14ac:dyDescent="0.25">
      <c r="A337" s="35" t="s">
        <v>449</v>
      </c>
      <c r="B337" s="36">
        <v>39</v>
      </c>
      <c r="C337" s="35" t="s">
        <v>799</v>
      </c>
      <c r="D337" s="37">
        <v>24.8</v>
      </c>
      <c r="E337" s="36">
        <v>1488</v>
      </c>
      <c r="F337" s="35" t="s">
        <v>1128</v>
      </c>
      <c r="G337" s="35" t="s">
        <v>1227</v>
      </c>
    </row>
    <row r="338" ht="20" customHeight="1" spans="1:7" x14ac:dyDescent="0.25">
      <c r="A338" s="17" t="s">
        <v>449</v>
      </c>
      <c r="B338" s="33">
        <v>40</v>
      </c>
      <c r="C338" s="17" t="s">
        <v>800</v>
      </c>
      <c r="D338" s="18">
        <v>36.1</v>
      </c>
      <c r="E338" s="33">
        <v>2167</v>
      </c>
      <c r="F338" s="17" t="s">
        <v>1128</v>
      </c>
      <c r="G338" s="17" t="s">
        <v>1228</v>
      </c>
    </row>
    <row r="339" ht="20" customHeight="1" spans="1:7" x14ac:dyDescent="0.25">
      <c r="A339" s="35" t="s">
        <v>449</v>
      </c>
      <c r="B339" s="36">
        <v>41</v>
      </c>
      <c r="C339" s="35" t="s">
        <v>811</v>
      </c>
      <c r="D339" s="37">
        <v>35.4</v>
      </c>
      <c r="E339" s="36">
        <v>2121</v>
      </c>
      <c r="F339" s="35" t="s">
        <v>1128</v>
      </c>
      <c r="G339" s="35" t="s">
        <v>1229</v>
      </c>
    </row>
    <row r="340" ht="20" customHeight="1" spans="1:7" x14ac:dyDescent="0.25">
      <c r="A340" s="17" t="s">
        <v>449</v>
      </c>
      <c r="B340" s="33">
        <v>42</v>
      </c>
      <c r="C340" s="17" t="s">
        <v>812</v>
      </c>
      <c r="D340" s="18">
        <v>36.7</v>
      </c>
      <c r="E340" s="33">
        <v>2202</v>
      </c>
      <c r="F340" s="17" t="s">
        <v>1128</v>
      </c>
      <c r="G340" s="17" t="s">
        <v>1230</v>
      </c>
    </row>
    <row r="341" ht="20" customHeight="1" spans="1:7" x14ac:dyDescent="0.25">
      <c r="A341" s="35" t="s">
        <v>449</v>
      </c>
      <c r="B341" s="36">
        <v>43</v>
      </c>
      <c r="C341" s="35" t="s">
        <v>822</v>
      </c>
      <c r="D341" s="37">
        <v>30.2</v>
      </c>
      <c r="E341" s="36">
        <v>1815</v>
      </c>
      <c r="F341" s="35" t="s">
        <v>1128</v>
      </c>
      <c r="G341" s="35" t="s">
        <v>1231</v>
      </c>
    </row>
    <row r="342" ht="20" customHeight="1" spans="1:7" x14ac:dyDescent="0.25">
      <c r="A342" s="17" t="s">
        <v>449</v>
      </c>
      <c r="B342" s="33">
        <v>44</v>
      </c>
      <c r="C342" s="17" t="s">
        <v>823</v>
      </c>
      <c r="D342" s="18">
        <v>38</v>
      </c>
      <c r="E342" s="33">
        <v>2282</v>
      </c>
      <c r="F342" s="17" t="s">
        <v>1128</v>
      </c>
      <c r="G342" s="17" t="s">
        <v>1232</v>
      </c>
    </row>
    <row r="343" ht="20" customHeight="1" spans="1:7" x14ac:dyDescent="0.25">
      <c r="A343" s="35" t="s">
        <v>449</v>
      </c>
      <c r="B343" s="36">
        <v>45</v>
      </c>
      <c r="C343" s="35" t="s">
        <v>833</v>
      </c>
      <c r="D343" s="37">
        <v>24.9</v>
      </c>
      <c r="E343" s="36">
        <v>1491</v>
      </c>
      <c r="F343" s="35" t="s">
        <v>1128</v>
      </c>
      <c r="G343" s="35" t="s">
        <v>1233</v>
      </c>
    </row>
    <row r="344" ht="20" customHeight="1" spans="1:7" x14ac:dyDescent="0.25">
      <c r="A344" s="17" t="s">
        <v>449</v>
      </c>
      <c r="B344" s="33">
        <v>46</v>
      </c>
      <c r="C344" s="17" t="s">
        <v>834</v>
      </c>
      <c r="D344" s="18">
        <v>57.5</v>
      </c>
      <c r="E344" s="33">
        <v>3450</v>
      </c>
      <c r="F344" s="17" t="s">
        <v>1128</v>
      </c>
      <c r="G344" s="17" t="s">
        <v>1234</v>
      </c>
    </row>
    <row r="345" ht="20" customHeight="1" spans="1:7" x14ac:dyDescent="0.25">
      <c r="A345" s="35" t="s">
        <v>449</v>
      </c>
      <c r="B345" s="36">
        <v>47</v>
      </c>
      <c r="C345" s="35" t="s">
        <v>842</v>
      </c>
      <c r="D345" s="37">
        <v>41.8</v>
      </c>
      <c r="E345" s="36">
        <v>2508</v>
      </c>
      <c r="F345" s="35" t="s">
        <v>1128</v>
      </c>
      <c r="G345" s="35" t="s">
        <v>1235</v>
      </c>
    </row>
    <row r="346" ht="20" customHeight="1" spans="1:7" x14ac:dyDescent="0.25">
      <c r="A346" s="17" t="s">
        <v>449</v>
      </c>
      <c r="B346" s="33">
        <v>48</v>
      </c>
      <c r="C346" s="17" t="s">
        <v>843</v>
      </c>
      <c r="D346" s="18">
        <v>41.8</v>
      </c>
      <c r="E346" s="33">
        <v>2506</v>
      </c>
      <c r="F346" s="17" t="s">
        <v>1128</v>
      </c>
      <c r="G346" s="17" t="s">
        <v>1236</v>
      </c>
    </row>
    <row r="347" ht="20" customHeight="1" spans="1:7" x14ac:dyDescent="0.25">
      <c r="A347" s="35" t="s">
        <v>449</v>
      </c>
      <c r="B347" s="36">
        <v>49</v>
      </c>
      <c r="C347" s="35" t="s">
        <v>850</v>
      </c>
      <c r="D347" s="37">
        <v>39.4</v>
      </c>
      <c r="E347" s="36">
        <v>2366</v>
      </c>
      <c r="F347" s="35" t="s">
        <v>1128</v>
      </c>
      <c r="G347" s="35" t="s">
        <v>1237</v>
      </c>
    </row>
    <row r="348" ht="20" customHeight="1" spans="1:7" x14ac:dyDescent="0.25">
      <c r="A348" s="17" t="s">
        <v>449</v>
      </c>
      <c r="B348" s="33">
        <v>50</v>
      </c>
      <c r="C348" s="17" t="s">
        <v>851</v>
      </c>
      <c r="D348" s="18">
        <v>41</v>
      </c>
      <c r="E348" s="33">
        <v>2460</v>
      </c>
      <c r="F348" s="17" t="s">
        <v>1128</v>
      </c>
      <c r="G348" s="17" t="s">
        <v>1238</v>
      </c>
    </row>
    <row r="349" ht="20" customHeight="1" spans="1:7" x14ac:dyDescent="0.25">
      <c r="A349" s="35" t="s">
        <v>449</v>
      </c>
      <c r="B349" s="36">
        <v>51</v>
      </c>
      <c r="C349" s="35" t="s">
        <v>857</v>
      </c>
      <c r="D349" s="37">
        <v>34.6</v>
      </c>
      <c r="E349" s="36">
        <v>2076</v>
      </c>
      <c r="F349" s="35" t="s">
        <v>1128</v>
      </c>
      <c r="G349" s="35" t="s">
        <v>1239</v>
      </c>
    </row>
    <row r="350" ht="20" customHeight="1" spans="1:7" x14ac:dyDescent="0.25">
      <c r="A350" s="17" t="s">
        <v>449</v>
      </c>
      <c r="B350" s="33">
        <v>52</v>
      </c>
      <c r="C350" s="17" t="s">
        <v>858</v>
      </c>
      <c r="D350" s="18">
        <v>29.8</v>
      </c>
      <c r="E350" s="33">
        <v>1785</v>
      </c>
      <c r="F350" s="17" t="s">
        <v>1128</v>
      </c>
      <c r="G350" s="17" t="s">
        <v>1240</v>
      </c>
    </row>
    <row r="351" ht="20" customHeight="1" spans="1:7" x14ac:dyDescent="0.25">
      <c r="A351" s="35" t="s">
        <v>449</v>
      </c>
      <c r="B351" s="36">
        <v>53</v>
      </c>
      <c r="C351" s="35" t="s">
        <v>864</v>
      </c>
      <c r="D351" s="37">
        <v>55.9</v>
      </c>
      <c r="E351" s="36">
        <v>3353</v>
      </c>
      <c r="F351" s="35" t="s">
        <v>1128</v>
      </c>
      <c r="G351" s="35" t="s">
        <v>1241</v>
      </c>
    </row>
    <row r="352" ht="20" customHeight="1" spans="1:7" x14ac:dyDescent="0.25">
      <c r="A352" s="17" t="s">
        <v>449</v>
      </c>
      <c r="B352" s="33">
        <v>54</v>
      </c>
      <c r="C352" s="17" t="s">
        <v>865</v>
      </c>
      <c r="D352" s="18">
        <v>61.9</v>
      </c>
      <c r="E352" s="33">
        <v>3711</v>
      </c>
      <c r="F352" s="17" t="s">
        <v>1128</v>
      </c>
      <c r="G352" s="17" t="s">
        <v>1242</v>
      </c>
    </row>
    <row r="353" ht="20" customHeight="1" spans="1:7" x14ac:dyDescent="0.25">
      <c r="A353" s="35" t="s">
        <v>43</v>
      </c>
      <c r="B353" s="36">
        <v>1</v>
      </c>
      <c r="C353" s="35" t="s">
        <v>44</v>
      </c>
      <c r="D353" s="37">
        <v>23.3</v>
      </c>
      <c r="E353" s="36">
        <v>1400</v>
      </c>
      <c r="F353" s="35" t="s">
        <v>1243</v>
      </c>
      <c r="G353" s="35" t="s">
        <v>1244</v>
      </c>
    </row>
    <row r="354" ht="20" customHeight="1" spans="1:7" x14ac:dyDescent="0.25">
      <c r="A354" s="17" t="s">
        <v>43</v>
      </c>
      <c r="B354" s="33">
        <v>2</v>
      </c>
      <c r="C354" s="17" t="s">
        <v>46</v>
      </c>
      <c r="D354" s="18">
        <v>46.7</v>
      </c>
      <c r="E354" s="33">
        <v>2803</v>
      </c>
      <c r="F354" s="17" t="s">
        <v>1243</v>
      </c>
      <c r="G354" s="17" t="s">
        <v>1245</v>
      </c>
    </row>
    <row r="355" ht="20" customHeight="1" spans="1:7" x14ac:dyDescent="0.25">
      <c r="A355" s="35" t="s">
        <v>43</v>
      </c>
      <c r="B355" s="36">
        <v>3</v>
      </c>
      <c r="C355" s="35" t="s">
        <v>61</v>
      </c>
      <c r="D355" s="37">
        <v>31.6</v>
      </c>
      <c r="E355" s="36">
        <v>1899</v>
      </c>
      <c r="F355" s="35" t="s">
        <v>1243</v>
      </c>
      <c r="G355" s="35" t="s">
        <v>1246</v>
      </c>
    </row>
    <row r="356" ht="20" customHeight="1" spans="1:7" x14ac:dyDescent="0.25">
      <c r="A356" s="17" t="s">
        <v>43</v>
      </c>
      <c r="B356" s="33">
        <v>4</v>
      </c>
      <c r="C356" s="17" t="s">
        <v>62</v>
      </c>
      <c r="D356" s="18">
        <v>80.3</v>
      </c>
      <c r="E356" s="33">
        <v>4817</v>
      </c>
      <c r="F356" s="17" t="s">
        <v>1243</v>
      </c>
      <c r="G356" s="17" t="s">
        <v>1247</v>
      </c>
    </row>
    <row r="357" ht="20" customHeight="1" spans="1:7" x14ac:dyDescent="0.25">
      <c r="A357" s="35" t="s">
        <v>43</v>
      </c>
      <c r="B357" s="36">
        <v>5</v>
      </c>
      <c r="C357" s="35" t="s">
        <v>85</v>
      </c>
      <c r="D357" s="37">
        <v>60.5</v>
      </c>
      <c r="E357" s="36">
        <v>3628</v>
      </c>
      <c r="F357" s="35" t="s">
        <v>1243</v>
      </c>
      <c r="G357" s="35" t="s">
        <v>1248</v>
      </c>
    </row>
    <row r="358" ht="20" customHeight="1" spans="1:7" x14ac:dyDescent="0.25">
      <c r="A358" s="17" t="s">
        <v>43</v>
      </c>
      <c r="B358" s="33">
        <v>6</v>
      </c>
      <c r="C358" s="17" t="s">
        <v>86</v>
      </c>
      <c r="D358" s="18">
        <v>46.2</v>
      </c>
      <c r="E358" s="33">
        <v>2775</v>
      </c>
      <c r="F358" s="17" t="s">
        <v>1243</v>
      </c>
      <c r="G358" s="17" t="s">
        <v>1249</v>
      </c>
    </row>
    <row r="359" ht="20" customHeight="1" spans="1:7" x14ac:dyDescent="0.25">
      <c r="A359" s="35" t="s">
        <v>43</v>
      </c>
      <c r="B359" s="36">
        <v>7</v>
      </c>
      <c r="C359" s="35" t="s">
        <v>93</v>
      </c>
      <c r="D359" s="37">
        <v>39.2</v>
      </c>
      <c r="E359" s="36">
        <v>2355</v>
      </c>
      <c r="F359" s="35" t="s">
        <v>1243</v>
      </c>
      <c r="G359" s="35" t="s">
        <v>1250</v>
      </c>
    </row>
    <row r="360" ht="20" customHeight="1" spans="1:7" x14ac:dyDescent="0.25">
      <c r="A360" s="17" t="s">
        <v>43</v>
      </c>
      <c r="B360" s="33">
        <v>8</v>
      </c>
      <c r="C360" s="17" t="s">
        <v>94</v>
      </c>
      <c r="D360" s="18">
        <v>32.3</v>
      </c>
      <c r="E360" s="33">
        <v>1936</v>
      </c>
      <c r="F360" s="17" t="s">
        <v>1243</v>
      </c>
      <c r="G360" s="17" t="s">
        <v>1251</v>
      </c>
    </row>
    <row r="361" ht="20" customHeight="1" spans="1:7" x14ac:dyDescent="0.25">
      <c r="A361" s="35" t="s">
        <v>43</v>
      </c>
      <c r="B361" s="36">
        <v>9</v>
      </c>
      <c r="C361" s="35" t="s">
        <v>110</v>
      </c>
      <c r="D361" s="37">
        <v>30.7</v>
      </c>
      <c r="E361" s="36">
        <v>1842</v>
      </c>
      <c r="F361" s="35" t="s">
        <v>1243</v>
      </c>
      <c r="G361" s="35" t="s">
        <v>1252</v>
      </c>
    </row>
    <row r="362" ht="20" customHeight="1" spans="1:7" x14ac:dyDescent="0.25">
      <c r="A362" s="17" t="s">
        <v>43</v>
      </c>
      <c r="B362" s="33">
        <v>10</v>
      </c>
      <c r="C362" s="17" t="s">
        <v>111</v>
      </c>
      <c r="D362" s="18">
        <v>46.2</v>
      </c>
      <c r="E362" s="33">
        <v>2772</v>
      </c>
      <c r="F362" s="17" t="s">
        <v>1243</v>
      </c>
      <c r="G362" s="17" t="s">
        <v>1253</v>
      </c>
    </row>
    <row r="363" ht="20" customHeight="1" spans="1:7" x14ac:dyDescent="0.25">
      <c r="A363" s="35" t="s">
        <v>43</v>
      </c>
      <c r="B363" s="36">
        <v>11</v>
      </c>
      <c r="C363" s="35" t="s">
        <v>118</v>
      </c>
      <c r="D363" s="37">
        <v>36.9</v>
      </c>
      <c r="E363" s="36">
        <v>2216</v>
      </c>
      <c r="F363" s="35" t="s">
        <v>1243</v>
      </c>
      <c r="G363" s="35" t="s">
        <v>1254</v>
      </c>
    </row>
    <row r="364" ht="20" customHeight="1" spans="1:7" x14ac:dyDescent="0.25">
      <c r="A364" s="17" t="s">
        <v>43</v>
      </c>
      <c r="B364" s="33">
        <v>12</v>
      </c>
      <c r="C364" s="17" t="s">
        <v>119</v>
      </c>
      <c r="D364" s="18">
        <v>54.4</v>
      </c>
      <c r="E364" s="33">
        <v>3263</v>
      </c>
      <c r="F364" s="17" t="s">
        <v>1243</v>
      </c>
      <c r="G364" s="17" t="s">
        <v>1255</v>
      </c>
    </row>
    <row r="365" ht="20" customHeight="1" spans="1:7" x14ac:dyDescent="0.25">
      <c r="A365" s="35" t="s">
        <v>43</v>
      </c>
      <c r="B365" s="36">
        <v>13</v>
      </c>
      <c r="C365" s="35" t="s">
        <v>135</v>
      </c>
      <c r="D365" s="37">
        <v>31.2</v>
      </c>
      <c r="E365" s="36">
        <v>1875</v>
      </c>
      <c r="F365" s="35" t="s">
        <v>1243</v>
      </c>
      <c r="G365" s="35" t="s">
        <v>1256</v>
      </c>
    </row>
    <row r="366" ht="20" customHeight="1" spans="1:7" x14ac:dyDescent="0.25">
      <c r="A366" s="17" t="s">
        <v>43</v>
      </c>
      <c r="B366" s="33">
        <v>14</v>
      </c>
      <c r="C366" s="17" t="s">
        <v>136</v>
      </c>
      <c r="D366" s="18">
        <v>57.9</v>
      </c>
      <c r="E366" s="33">
        <v>3471</v>
      </c>
      <c r="F366" s="17" t="s">
        <v>1243</v>
      </c>
      <c r="G366" s="17" t="s">
        <v>1257</v>
      </c>
    </row>
    <row r="367" ht="20" customHeight="1" spans="1:7" x14ac:dyDescent="0.25">
      <c r="A367" s="35" t="s">
        <v>43</v>
      </c>
      <c r="B367" s="36">
        <v>15</v>
      </c>
      <c r="C367" s="35" t="s">
        <v>143</v>
      </c>
      <c r="D367" s="37">
        <v>22</v>
      </c>
      <c r="E367" s="36">
        <v>1318</v>
      </c>
      <c r="F367" s="35" t="s">
        <v>1243</v>
      </c>
      <c r="G367" s="35" t="s">
        <v>1258</v>
      </c>
    </row>
    <row r="368" ht="20" customHeight="1" spans="1:7" x14ac:dyDescent="0.25">
      <c r="A368" s="17" t="s">
        <v>43</v>
      </c>
      <c r="B368" s="33">
        <v>16</v>
      </c>
      <c r="C368" s="17" t="s">
        <v>144</v>
      </c>
      <c r="D368" s="18">
        <v>49.7</v>
      </c>
      <c r="E368" s="33">
        <v>2980</v>
      </c>
      <c r="F368" s="17" t="s">
        <v>1243</v>
      </c>
      <c r="G368" s="17" t="s">
        <v>1259</v>
      </c>
    </row>
    <row r="369" ht="20" customHeight="1" spans="1:7" x14ac:dyDescent="0.25">
      <c r="A369" s="35" t="s">
        <v>43</v>
      </c>
      <c r="B369" s="36">
        <v>17</v>
      </c>
      <c r="C369" s="35" t="s">
        <v>160</v>
      </c>
      <c r="D369" s="37">
        <v>43.6</v>
      </c>
      <c r="E369" s="36">
        <v>2616</v>
      </c>
      <c r="F369" s="35" t="s">
        <v>1243</v>
      </c>
      <c r="G369" s="35" t="s">
        <v>1260</v>
      </c>
    </row>
    <row r="370" ht="20" customHeight="1" spans="1:7" x14ac:dyDescent="0.25">
      <c r="A370" s="17" t="s">
        <v>43</v>
      </c>
      <c r="B370" s="33">
        <v>18</v>
      </c>
      <c r="C370" s="17" t="s">
        <v>161</v>
      </c>
      <c r="D370" s="18">
        <v>62.1</v>
      </c>
      <c r="E370" s="33">
        <v>3728</v>
      </c>
      <c r="F370" s="17" t="s">
        <v>1243</v>
      </c>
      <c r="G370" s="17" t="s">
        <v>1261</v>
      </c>
    </row>
    <row r="371" ht="20" customHeight="1" spans="1:7" x14ac:dyDescent="0.25">
      <c r="A371" s="35" t="s">
        <v>43</v>
      </c>
      <c r="B371" s="36">
        <v>19</v>
      </c>
      <c r="C371" s="35" t="s">
        <v>168</v>
      </c>
      <c r="D371" s="37">
        <v>58.9</v>
      </c>
      <c r="E371" s="36">
        <v>3533</v>
      </c>
      <c r="F371" s="35" t="s">
        <v>1243</v>
      </c>
      <c r="G371" s="35" t="s">
        <v>1262</v>
      </c>
    </row>
    <row r="372" ht="20" customHeight="1" spans="1:7" x14ac:dyDescent="0.25">
      <c r="A372" s="17" t="s">
        <v>43</v>
      </c>
      <c r="B372" s="33">
        <v>20</v>
      </c>
      <c r="C372" s="17" t="s">
        <v>169</v>
      </c>
      <c r="D372" s="18">
        <v>30.9</v>
      </c>
      <c r="E372" s="33">
        <v>1856</v>
      </c>
      <c r="F372" s="17" t="s">
        <v>1243</v>
      </c>
      <c r="G372" s="17" t="s">
        <v>1263</v>
      </c>
    </row>
    <row r="373" ht="20" customHeight="1" spans="1:7" x14ac:dyDescent="0.25">
      <c r="A373" s="35" t="s">
        <v>43</v>
      </c>
      <c r="B373" s="36">
        <v>21</v>
      </c>
      <c r="C373" s="35" t="s">
        <v>185</v>
      </c>
      <c r="D373" s="37">
        <v>72</v>
      </c>
      <c r="E373" s="36">
        <v>4319</v>
      </c>
      <c r="F373" s="35" t="s">
        <v>1243</v>
      </c>
      <c r="G373" s="35" t="s">
        <v>1264</v>
      </c>
    </row>
    <row r="374" ht="20" customHeight="1" spans="1:7" x14ac:dyDescent="0.25">
      <c r="A374" s="17" t="s">
        <v>43</v>
      </c>
      <c r="B374" s="33">
        <v>22</v>
      </c>
      <c r="C374" s="17" t="s">
        <v>186</v>
      </c>
      <c r="D374" s="18">
        <v>47.9</v>
      </c>
      <c r="E374" s="33">
        <v>2875</v>
      </c>
      <c r="F374" s="17" t="s">
        <v>1243</v>
      </c>
      <c r="G374" s="17" t="s">
        <v>1265</v>
      </c>
    </row>
    <row r="375" ht="20" customHeight="1" spans="1:7" x14ac:dyDescent="0.25">
      <c r="A375" s="35" t="s">
        <v>43</v>
      </c>
      <c r="B375" s="36">
        <v>23</v>
      </c>
      <c r="C375" s="35" t="s">
        <v>193</v>
      </c>
      <c r="D375" s="37">
        <v>44.2</v>
      </c>
      <c r="E375" s="36">
        <v>2653</v>
      </c>
      <c r="F375" s="35" t="s">
        <v>1243</v>
      </c>
      <c r="G375" s="35" t="s">
        <v>1266</v>
      </c>
    </row>
    <row r="376" ht="20" customHeight="1" spans="1:7" x14ac:dyDescent="0.25">
      <c r="A376" s="17" t="s">
        <v>43</v>
      </c>
      <c r="B376" s="33">
        <v>24</v>
      </c>
      <c r="C376" s="17" t="s">
        <v>194</v>
      </c>
      <c r="D376" s="18">
        <v>40.5</v>
      </c>
      <c r="E376" s="33">
        <v>2433</v>
      </c>
      <c r="F376" s="17" t="s">
        <v>1243</v>
      </c>
      <c r="G376" s="17" t="s">
        <v>1267</v>
      </c>
    </row>
    <row r="377" ht="20" customHeight="1" spans="1:7" x14ac:dyDescent="0.25">
      <c r="A377" s="35" t="s">
        <v>43</v>
      </c>
      <c r="B377" s="36">
        <v>25</v>
      </c>
      <c r="C377" s="35" t="s">
        <v>210</v>
      </c>
      <c r="D377" s="37">
        <v>46.2</v>
      </c>
      <c r="E377" s="36">
        <v>2772</v>
      </c>
      <c r="F377" s="35" t="s">
        <v>1243</v>
      </c>
      <c r="G377" s="35" t="s">
        <v>1268</v>
      </c>
    </row>
    <row r="378" ht="20" customHeight="1" spans="1:7" x14ac:dyDescent="0.25">
      <c r="A378" s="17" t="s">
        <v>43</v>
      </c>
      <c r="B378" s="33">
        <v>26</v>
      </c>
      <c r="C378" s="17" t="s">
        <v>211</v>
      </c>
      <c r="D378" s="18">
        <v>63.1</v>
      </c>
      <c r="E378" s="33">
        <v>3784</v>
      </c>
      <c r="F378" s="17" t="s">
        <v>1243</v>
      </c>
      <c r="G378" s="17" t="s">
        <v>1269</v>
      </c>
    </row>
    <row r="379" ht="20" customHeight="1" spans="1:7" x14ac:dyDescent="0.25">
      <c r="A379" s="35" t="s">
        <v>43</v>
      </c>
      <c r="B379" s="36">
        <v>27</v>
      </c>
      <c r="C379" s="35" t="s">
        <v>218</v>
      </c>
      <c r="D379" s="37">
        <v>21.8</v>
      </c>
      <c r="E379" s="36">
        <v>1307</v>
      </c>
      <c r="F379" s="35" t="s">
        <v>1243</v>
      </c>
      <c r="G379" s="35" t="s">
        <v>1270</v>
      </c>
    </row>
    <row r="380" ht="20" customHeight="1" spans="1:7" x14ac:dyDescent="0.25">
      <c r="A380" s="17" t="s">
        <v>43</v>
      </c>
      <c r="B380" s="33">
        <v>28</v>
      </c>
      <c r="C380" s="17" t="s">
        <v>219</v>
      </c>
      <c r="D380" s="18">
        <v>20.2</v>
      </c>
      <c r="E380" s="33">
        <v>1212</v>
      </c>
      <c r="F380" s="17" t="s">
        <v>1243</v>
      </c>
      <c r="G380" s="17" t="s">
        <v>1271</v>
      </c>
    </row>
    <row r="381" ht="20" customHeight="1" spans="1:7" x14ac:dyDescent="0.25">
      <c r="A381" s="35" t="s">
        <v>43</v>
      </c>
      <c r="B381" s="36">
        <v>29</v>
      </c>
      <c r="C381" s="35" t="s">
        <v>235</v>
      </c>
      <c r="D381" s="37">
        <v>50.6</v>
      </c>
      <c r="E381" s="36">
        <v>3034</v>
      </c>
      <c r="F381" s="35" t="s">
        <v>1243</v>
      </c>
      <c r="G381" s="35" t="s">
        <v>1272</v>
      </c>
    </row>
    <row r="382" ht="20" customHeight="1" spans="1:7" x14ac:dyDescent="0.25">
      <c r="A382" s="17" t="s">
        <v>43</v>
      </c>
      <c r="B382" s="33">
        <v>30</v>
      </c>
      <c r="C382" s="17" t="s">
        <v>236</v>
      </c>
      <c r="D382" s="18">
        <v>36</v>
      </c>
      <c r="E382" s="33">
        <v>2160</v>
      </c>
      <c r="F382" s="17" t="s">
        <v>1243</v>
      </c>
      <c r="G382" s="17" t="s">
        <v>1273</v>
      </c>
    </row>
    <row r="383" ht="20" customHeight="1" spans="1:7" x14ac:dyDescent="0.25">
      <c r="A383" s="35" t="s">
        <v>43</v>
      </c>
      <c r="B383" s="36">
        <v>31</v>
      </c>
      <c r="C383" s="35" t="s">
        <v>243</v>
      </c>
      <c r="D383" s="37">
        <v>62.6</v>
      </c>
      <c r="E383" s="36">
        <v>3754</v>
      </c>
      <c r="F383" s="35" t="s">
        <v>1243</v>
      </c>
      <c r="G383" s="35" t="s">
        <v>1274</v>
      </c>
    </row>
    <row r="384" ht="20" customHeight="1" spans="1:7" x14ac:dyDescent="0.25">
      <c r="A384" s="17" t="s">
        <v>43</v>
      </c>
      <c r="B384" s="33">
        <v>32</v>
      </c>
      <c r="C384" s="17" t="s">
        <v>244</v>
      </c>
      <c r="D384" s="18">
        <v>51.5</v>
      </c>
      <c r="E384" s="33">
        <v>3092</v>
      </c>
      <c r="F384" s="17" t="s">
        <v>1243</v>
      </c>
      <c r="G384" s="17" t="s">
        <v>1275</v>
      </c>
    </row>
    <row r="385" ht="20" customHeight="1" spans="1:7" x14ac:dyDescent="0.25">
      <c r="A385" s="35" t="s">
        <v>43</v>
      </c>
      <c r="B385" s="36">
        <v>33</v>
      </c>
      <c r="C385" s="35" t="s">
        <v>260</v>
      </c>
      <c r="D385" s="37">
        <v>48.3</v>
      </c>
      <c r="E385" s="36">
        <v>2900</v>
      </c>
      <c r="F385" s="35" t="s">
        <v>1243</v>
      </c>
      <c r="G385" s="35" t="s">
        <v>1276</v>
      </c>
    </row>
    <row r="386" ht="20" customHeight="1" spans="1:7" x14ac:dyDescent="0.25">
      <c r="A386" s="17" t="s">
        <v>43</v>
      </c>
      <c r="B386" s="33">
        <v>34</v>
      </c>
      <c r="C386" s="17" t="s">
        <v>261</v>
      </c>
      <c r="D386" s="18">
        <v>32.4</v>
      </c>
      <c r="E386" s="33">
        <v>1944</v>
      </c>
      <c r="F386" s="17" t="s">
        <v>1243</v>
      </c>
      <c r="G386" s="17" t="s">
        <v>1277</v>
      </c>
    </row>
    <row r="387" ht="20" customHeight="1" spans="1:7" x14ac:dyDescent="0.25">
      <c r="A387" s="35" t="s">
        <v>43</v>
      </c>
      <c r="B387" s="36">
        <v>35</v>
      </c>
      <c r="C387" s="35" t="s">
        <v>268</v>
      </c>
      <c r="D387" s="37">
        <v>51.9</v>
      </c>
      <c r="E387" s="36">
        <v>3111</v>
      </c>
      <c r="F387" s="35" t="s">
        <v>1243</v>
      </c>
      <c r="G387" s="35" t="s">
        <v>1278</v>
      </c>
    </row>
    <row r="388" ht="20" customHeight="1" spans="1:7" x14ac:dyDescent="0.25">
      <c r="A388" s="17" t="s">
        <v>43</v>
      </c>
      <c r="B388" s="33">
        <v>36</v>
      </c>
      <c r="C388" s="17" t="s">
        <v>269</v>
      </c>
      <c r="D388" s="18">
        <v>52.1</v>
      </c>
      <c r="E388" s="33">
        <v>3125</v>
      </c>
      <c r="F388" s="17" t="s">
        <v>1243</v>
      </c>
      <c r="G388" s="17" t="s">
        <v>1279</v>
      </c>
    </row>
    <row r="389" ht="20" customHeight="1" spans="1:7" x14ac:dyDescent="0.25">
      <c r="A389" s="35" t="s">
        <v>43</v>
      </c>
      <c r="B389" s="36">
        <v>37</v>
      </c>
      <c r="C389" s="35" t="s">
        <v>285</v>
      </c>
      <c r="D389" s="37">
        <v>38.8</v>
      </c>
      <c r="E389" s="36">
        <v>2328</v>
      </c>
      <c r="F389" s="35" t="s">
        <v>1243</v>
      </c>
      <c r="G389" s="35" t="s">
        <v>1280</v>
      </c>
    </row>
    <row r="390" ht="20" customHeight="1" spans="1:7" x14ac:dyDescent="0.25">
      <c r="A390" s="17" t="s">
        <v>43</v>
      </c>
      <c r="B390" s="33">
        <v>38</v>
      </c>
      <c r="C390" s="17" t="s">
        <v>286</v>
      </c>
      <c r="D390" s="18">
        <v>38.1</v>
      </c>
      <c r="E390" s="33">
        <v>2284</v>
      </c>
      <c r="F390" s="17" t="s">
        <v>1243</v>
      </c>
      <c r="G390" s="17" t="s">
        <v>1281</v>
      </c>
    </row>
    <row r="391" ht="20" customHeight="1" spans="1:7" x14ac:dyDescent="0.25">
      <c r="A391" s="35" t="s">
        <v>43</v>
      </c>
      <c r="B391" s="36">
        <v>39</v>
      </c>
      <c r="C391" s="35" t="s">
        <v>293</v>
      </c>
      <c r="D391" s="37">
        <v>54.3</v>
      </c>
      <c r="E391" s="36">
        <v>3260</v>
      </c>
      <c r="F391" s="35" t="s">
        <v>1243</v>
      </c>
      <c r="G391" s="35" t="s">
        <v>1282</v>
      </c>
    </row>
    <row r="392" ht="20" customHeight="1" spans="1:7" x14ac:dyDescent="0.25">
      <c r="A392" s="17" t="s">
        <v>43</v>
      </c>
      <c r="B392" s="33">
        <v>40</v>
      </c>
      <c r="C392" s="17" t="s">
        <v>294</v>
      </c>
      <c r="D392" s="18">
        <v>54.3</v>
      </c>
      <c r="E392" s="33">
        <v>3259</v>
      </c>
      <c r="F392" s="17" t="s">
        <v>1243</v>
      </c>
      <c r="G392" s="17" t="s">
        <v>1283</v>
      </c>
    </row>
    <row r="393" ht="20" customHeight="1" spans="1:7" x14ac:dyDescent="0.25">
      <c r="A393" s="35" t="s">
        <v>43</v>
      </c>
      <c r="B393" s="36">
        <v>41</v>
      </c>
      <c r="C393" s="35" t="s">
        <v>310</v>
      </c>
      <c r="D393" s="37">
        <v>60.4</v>
      </c>
      <c r="E393" s="36">
        <v>3625</v>
      </c>
      <c r="F393" s="35" t="s">
        <v>1243</v>
      </c>
      <c r="G393" s="35" t="s">
        <v>1284</v>
      </c>
    </row>
    <row r="394" ht="20" customHeight="1" spans="1:7" x14ac:dyDescent="0.25">
      <c r="A394" s="17" t="s">
        <v>43</v>
      </c>
      <c r="B394" s="33">
        <v>42</v>
      </c>
      <c r="C394" s="17" t="s">
        <v>311</v>
      </c>
      <c r="D394" s="18">
        <v>42.5</v>
      </c>
      <c r="E394" s="33">
        <v>2547</v>
      </c>
      <c r="F394" s="17" t="s">
        <v>1243</v>
      </c>
      <c r="G394" s="17" t="s">
        <v>1285</v>
      </c>
    </row>
    <row r="395" ht="20" customHeight="1" spans="1:7" x14ac:dyDescent="0.25">
      <c r="A395" s="35" t="s">
        <v>43</v>
      </c>
      <c r="B395" s="36">
        <v>43</v>
      </c>
      <c r="C395" s="35" t="s">
        <v>318</v>
      </c>
      <c r="D395" s="37">
        <v>63.9</v>
      </c>
      <c r="E395" s="36">
        <v>3831</v>
      </c>
      <c r="F395" s="35" t="s">
        <v>1243</v>
      </c>
      <c r="G395" s="35" t="s">
        <v>1286</v>
      </c>
    </row>
    <row r="396" ht="20" customHeight="1" spans="1:7" x14ac:dyDescent="0.25">
      <c r="A396" s="17" t="s">
        <v>43</v>
      </c>
      <c r="B396" s="33">
        <v>44</v>
      </c>
      <c r="C396" s="17" t="s">
        <v>319</v>
      </c>
      <c r="D396" s="18">
        <v>55.6</v>
      </c>
      <c r="E396" s="33">
        <v>3336</v>
      </c>
      <c r="F396" s="17" t="s">
        <v>1243</v>
      </c>
      <c r="G396" s="17" t="s">
        <v>1287</v>
      </c>
    </row>
    <row r="397" ht="20" customHeight="1" spans="1:7" x14ac:dyDescent="0.25">
      <c r="A397" s="35" t="s">
        <v>43</v>
      </c>
      <c r="B397" s="36">
        <v>45</v>
      </c>
      <c r="C397" s="35" t="s">
        <v>335</v>
      </c>
      <c r="D397" s="37">
        <v>46.4</v>
      </c>
      <c r="E397" s="36">
        <v>2785</v>
      </c>
      <c r="F397" s="35" t="s">
        <v>1243</v>
      </c>
      <c r="G397" s="35" t="s">
        <v>1288</v>
      </c>
    </row>
    <row r="398" ht="20" customHeight="1" spans="1:7" x14ac:dyDescent="0.25">
      <c r="A398" s="17" t="s">
        <v>43</v>
      </c>
      <c r="B398" s="33">
        <v>46</v>
      </c>
      <c r="C398" s="17" t="s">
        <v>336</v>
      </c>
      <c r="D398" s="18">
        <v>45.1</v>
      </c>
      <c r="E398" s="33">
        <v>2709</v>
      </c>
      <c r="F398" s="17" t="s">
        <v>1243</v>
      </c>
      <c r="G398" s="17" t="s">
        <v>1289</v>
      </c>
    </row>
    <row r="399" ht="20" customHeight="1" spans="1:7" x14ac:dyDescent="0.25">
      <c r="A399" s="35" t="s">
        <v>43</v>
      </c>
      <c r="B399" s="36">
        <v>47</v>
      </c>
      <c r="C399" s="35" t="s">
        <v>343</v>
      </c>
      <c r="D399" s="37">
        <v>72.5</v>
      </c>
      <c r="E399" s="36">
        <v>4349</v>
      </c>
      <c r="F399" s="35" t="s">
        <v>1243</v>
      </c>
      <c r="G399" s="35" t="s">
        <v>1290</v>
      </c>
    </row>
    <row r="400" ht="20" customHeight="1" spans="1:7" x14ac:dyDescent="0.25">
      <c r="A400" s="17" t="s">
        <v>43</v>
      </c>
      <c r="B400" s="33">
        <v>48</v>
      </c>
      <c r="C400" s="17" t="s">
        <v>344</v>
      </c>
      <c r="D400" s="18">
        <v>54.6</v>
      </c>
      <c r="E400" s="33">
        <v>3277</v>
      </c>
      <c r="F400" s="17" t="s">
        <v>1243</v>
      </c>
      <c r="G400" s="17" t="s">
        <v>1291</v>
      </c>
    </row>
    <row r="401" ht="20" customHeight="1" spans="1:7" x14ac:dyDescent="0.25">
      <c r="A401" s="35" t="s">
        <v>43</v>
      </c>
      <c r="B401" s="36">
        <v>49</v>
      </c>
      <c r="C401" s="35" t="s">
        <v>360</v>
      </c>
      <c r="D401" s="37">
        <v>60.5</v>
      </c>
      <c r="E401" s="36">
        <v>3632</v>
      </c>
      <c r="F401" s="35" t="s">
        <v>1243</v>
      </c>
      <c r="G401" s="35" t="s">
        <v>1292</v>
      </c>
    </row>
    <row r="402" ht="20" customHeight="1" spans="1:7" x14ac:dyDescent="0.25">
      <c r="A402" s="17" t="s">
        <v>43</v>
      </c>
      <c r="B402" s="33">
        <v>50</v>
      </c>
      <c r="C402" s="17" t="s">
        <v>361</v>
      </c>
      <c r="D402" s="18">
        <v>55</v>
      </c>
      <c r="E402" s="33">
        <v>3302</v>
      </c>
      <c r="F402" s="17" t="s">
        <v>1243</v>
      </c>
      <c r="G402" s="17" t="s">
        <v>1293</v>
      </c>
    </row>
    <row r="403" ht="20" customHeight="1" spans="1:7" x14ac:dyDescent="0.25">
      <c r="A403" s="35" t="s">
        <v>43</v>
      </c>
      <c r="B403" s="36">
        <v>51</v>
      </c>
      <c r="C403" s="35" t="s">
        <v>368</v>
      </c>
      <c r="D403" s="37">
        <v>46</v>
      </c>
      <c r="E403" s="36">
        <v>2758</v>
      </c>
      <c r="F403" s="35" t="s">
        <v>1243</v>
      </c>
      <c r="G403" s="35" t="s">
        <v>1294</v>
      </c>
    </row>
    <row r="404" ht="20" customHeight="1" spans="1:7" x14ac:dyDescent="0.25">
      <c r="A404" s="17" t="s">
        <v>43</v>
      </c>
      <c r="B404" s="33">
        <v>52</v>
      </c>
      <c r="C404" s="17" t="s">
        <v>369</v>
      </c>
      <c r="D404" s="18">
        <v>51.8</v>
      </c>
      <c r="E404" s="33">
        <v>3109</v>
      </c>
      <c r="F404" s="17" t="s">
        <v>1243</v>
      </c>
      <c r="G404" s="17" t="s">
        <v>1295</v>
      </c>
    </row>
    <row r="405" ht="20" customHeight="1" spans="1:7" x14ac:dyDescent="0.25">
      <c r="A405" s="35" t="s">
        <v>43</v>
      </c>
      <c r="B405" s="36">
        <v>53</v>
      </c>
      <c r="C405" s="35" t="s">
        <v>385</v>
      </c>
      <c r="D405" s="37">
        <v>56.6</v>
      </c>
      <c r="E405" s="36">
        <v>3398</v>
      </c>
      <c r="F405" s="35" t="s">
        <v>1243</v>
      </c>
      <c r="G405" s="35" t="s">
        <v>1296</v>
      </c>
    </row>
    <row r="406" ht="20" customHeight="1" spans="1:7" x14ac:dyDescent="0.25">
      <c r="A406" s="17" t="s">
        <v>43</v>
      </c>
      <c r="B406" s="33">
        <v>54</v>
      </c>
      <c r="C406" s="17" t="s">
        <v>386</v>
      </c>
      <c r="D406" s="18">
        <v>26.9</v>
      </c>
      <c r="E406" s="33">
        <v>1611</v>
      </c>
      <c r="F406" s="17" t="s">
        <v>1243</v>
      </c>
      <c r="G406" s="17" t="s">
        <v>1297</v>
      </c>
    </row>
    <row r="407" ht="20" customHeight="1" spans="1:7" x14ac:dyDescent="0.25">
      <c r="A407" s="35" t="s">
        <v>43</v>
      </c>
      <c r="B407" s="36">
        <v>55</v>
      </c>
      <c r="C407" s="35" t="s">
        <v>393</v>
      </c>
      <c r="D407" s="37">
        <v>46.4</v>
      </c>
      <c r="E407" s="36">
        <v>2785</v>
      </c>
      <c r="F407" s="35" t="s">
        <v>1243</v>
      </c>
      <c r="G407" s="35" t="s">
        <v>1298</v>
      </c>
    </row>
    <row r="408" ht="20" customHeight="1" spans="1:7" x14ac:dyDescent="0.25">
      <c r="A408" s="17" t="s">
        <v>43</v>
      </c>
      <c r="B408" s="33">
        <v>56</v>
      </c>
      <c r="C408" s="17" t="s">
        <v>394</v>
      </c>
      <c r="D408" s="18">
        <v>53.5</v>
      </c>
      <c r="E408" s="33">
        <v>3208</v>
      </c>
      <c r="F408" s="17" t="s">
        <v>1243</v>
      </c>
      <c r="G408" s="17" t="s">
        <v>1299</v>
      </c>
    </row>
    <row r="409" ht="20" customHeight="1" spans="1:7" x14ac:dyDescent="0.25">
      <c r="A409" s="35" t="s">
        <v>43</v>
      </c>
      <c r="B409" s="36">
        <v>57</v>
      </c>
      <c r="C409" s="35" t="s">
        <v>410</v>
      </c>
      <c r="D409" s="37">
        <v>43.4</v>
      </c>
      <c r="E409" s="36">
        <v>2605</v>
      </c>
      <c r="F409" s="35" t="s">
        <v>1243</v>
      </c>
      <c r="G409" s="35" t="s">
        <v>1300</v>
      </c>
    </row>
    <row r="410" ht="20" customHeight="1" spans="1:7" x14ac:dyDescent="0.25">
      <c r="A410" s="17" t="s">
        <v>43</v>
      </c>
      <c r="B410" s="33">
        <v>58</v>
      </c>
      <c r="C410" s="17" t="s">
        <v>411</v>
      </c>
      <c r="D410" s="18">
        <v>42.8</v>
      </c>
      <c r="E410" s="33">
        <v>2570</v>
      </c>
      <c r="F410" s="17" t="s">
        <v>1243</v>
      </c>
      <c r="G410" s="17" t="s">
        <v>1301</v>
      </c>
    </row>
    <row r="411" ht="20" customHeight="1" spans="1:7" x14ac:dyDescent="0.25">
      <c r="A411" s="35" t="s">
        <v>43</v>
      </c>
      <c r="B411" s="36">
        <v>59</v>
      </c>
      <c r="C411" s="35" t="s">
        <v>418</v>
      </c>
      <c r="D411" s="37">
        <v>38.4</v>
      </c>
      <c r="E411" s="36">
        <v>2304</v>
      </c>
      <c r="F411" s="35" t="s">
        <v>1243</v>
      </c>
      <c r="G411" s="35" t="s">
        <v>1302</v>
      </c>
    </row>
    <row r="412" ht="20" customHeight="1" spans="1:7" x14ac:dyDescent="0.25">
      <c r="A412" s="17" t="s">
        <v>43</v>
      </c>
      <c r="B412" s="33">
        <v>60</v>
      </c>
      <c r="C412" s="17" t="s">
        <v>419</v>
      </c>
      <c r="D412" s="18">
        <v>54.3</v>
      </c>
      <c r="E412" s="33">
        <v>3256</v>
      </c>
      <c r="F412" s="17" t="s">
        <v>1243</v>
      </c>
      <c r="G412" s="17" t="s">
        <v>1303</v>
      </c>
    </row>
    <row r="413" ht="20" customHeight="1" spans="1:7" x14ac:dyDescent="0.25">
      <c r="A413" s="35" t="s">
        <v>43</v>
      </c>
      <c r="B413" s="36">
        <v>61</v>
      </c>
      <c r="C413" s="35" t="s">
        <v>435</v>
      </c>
      <c r="D413" s="37">
        <v>67</v>
      </c>
      <c r="E413" s="36">
        <v>4021</v>
      </c>
      <c r="F413" s="35" t="s">
        <v>1243</v>
      </c>
      <c r="G413" s="35" t="s">
        <v>1304</v>
      </c>
    </row>
    <row r="414" ht="20" customHeight="1" spans="1:7" x14ac:dyDescent="0.25">
      <c r="A414" s="17" t="s">
        <v>43</v>
      </c>
      <c r="B414" s="33">
        <v>62</v>
      </c>
      <c r="C414" s="17" t="s">
        <v>436</v>
      </c>
      <c r="D414" s="18">
        <v>40</v>
      </c>
      <c r="E414" s="33">
        <v>2403</v>
      </c>
      <c r="F414" s="17" t="s">
        <v>1243</v>
      </c>
      <c r="G414" s="17" t="s">
        <v>1305</v>
      </c>
    </row>
    <row r="415" ht="20" customHeight="1" spans="1:7" x14ac:dyDescent="0.25">
      <c r="A415" s="35" t="s">
        <v>43</v>
      </c>
      <c r="B415" s="36">
        <v>63</v>
      </c>
      <c r="C415" s="35" t="s">
        <v>443</v>
      </c>
      <c r="D415" s="37">
        <v>48.6</v>
      </c>
      <c r="E415" s="36">
        <v>2919</v>
      </c>
      <c r="F415" s="35" t="s">
        <v>1243</v>
      </c>
      <c r="G415" s="35" t="s">
        <v>1306</v>
      </c>
    </row>
    <row r="416" ht="20" customHeight="1" spans="1:7" x14ac:dyDescent="0.25">
      <c r="A416" s="17" t="s">
        <v>43</v>
      </c>
      <c r="B416" s="33">
        <v>64</v>
      </c>
      <c r="C416" s="17" t="s">
        <v>444</v>
      </c>
      <c r="D416" s="18">
        <v>41.7</v>
      </c>
      <c r="E416" s="33">
        <v>2504</v>
      </c>
      <c r="F416" s="17" t="s">
        <v>1243</v>
      </c>
      <c r="G416" s="17" t="s">
        <v>1307</v>
      </c>
    </row>
    <row r="417" ht="20" customHeight="1" spans="1:7" x14ac:dyDescent="0.25">
      <c r="A417" s="35" t="s">
        <v>43</v>
      </c>
      <c r="B417" s="36">
        <v>65</v>
      </c>
      <c r="C417" s="35" t="s">
        <v>461</v>
      </c>
      <c r="D417" s="37">
        <v>59.2</v>
      </c>
      <c r="E417" s="36">
        <v>3552</v>
      </c>
      <c r="F417" s="35" t="s">
        <v>1243</v>
      </c>
      <c r="G417" s="35" t="s">
        <v>1308</v>
      </c>
    </row>
    <row r="418" ht="20" customHeight="1" spans="1:7" x14ac:dyDescent="0.25">
      <c r="A418" s="17" t="s">
        <v>43</v>
      </c>
      <c r="B418" s="33">
        <v>66</v>
      </c>
      <c r="C418" s="17" t="s">
        <v>462</v>
      </c>
      <c r="D418" s="18">
        <v>48.4</v>
      </c>
      <c r="E418" s="33">
        <v>2905</v>
      </c>
      <c r="F418" s="17" t="s">
        <v>1243</v>
      </c>
      <c r="G418" s="17" t="s">
        <v>1309</v>
      </c>
    </row>
    <row r="419" ht="20" customHeight="1" spans="1:7" x14ac:dyDescent="0.25">
      <c r="A419" s="35" t="s">
        <v>43</v>
      </c>
      <c r="B419" s="36">
        <v>67</v>
      </c>
      <c r="C419" s="35" t="s">
        <v>468</v>
      </c>
      <c r="D419" s="37">
        <v>67.2</v>
      </c>
      <c r="E419" s="36">
        <v>4035</v>
      </c>
      <c r="F419" s="35" t="s">
        <v>1243</v>
      </c>
      <c r="G419" s="35" t="s">
        <v>1310</v>
      </c>
    </row>
    <row r="420" ht="20" customHeight="1" spans="1:7" x14ac:dyDescent="0.25">
      <c r="A420" s="17" t="s">
        <v>43</v>
      </c>
      <c r="B420" s="33">
        <v>68</v>
      </c>
      <c r="C420" s="17" t="s">
        <v>469</v>
      </c>
      <c r="D420" s="18">
        <v>56.4</v>
      </c>
      <c r="E420" s="33">
        <v>3385</v>
      </c>
      <c r="F420" s="17" t="s">
        <v>1243</v>
      </c>
      <c r="G420" s="17" t="s">
        <v>1311</v>
      </c>
    </row>
    <row r="421" ht="20" customHeight="1" spans="1:7" x14ac:dyDescent="0.25">
      <c r="A421" s="35" t="s">
        <v>43</v>
      </c>
      <c r="B421" s="36">
        <v>69</v>
      </c>
      <c r="C421" s="35" t="s">
        <v>485</v>
      </c>
      <c r="D421" s="37">
        <v>38.1</v>
      </c>
      <c r="E421" s="36">
        <v>2287</v>
      </c>
      <c r="F421" s="35" t="s">
        <v>1243</v>
      </c>
      <c r="G421" s="35" t="s">
        <v>1312</v>
      </c>
    </row>
    <row r="422" ht="20" customHeight="1" spans="1:7" x14ac:dyDescent="0.25">
      <c r="A422" s="17" t="s">
        <v>43</v>
      </c>
      <c r="B422" s="33">
        <v>70</v>
      </c>
      <c r="C422" s="17" t="s">
        <v>486</v>
      </c>
      <c r="D422" s="18">
        <v>46.6</v>
      </c>
      <c r="E422" s="33">
        <v>2797</v>
      </c>
      <c r="F422" s="17" t="s">
        <v>1243</v>
      </c>
      <c r="G422" s="17" t="s">
        <v>1313</v>
      </c>
    </row>
    <row r="423" ht="20" customHeight="1" spans="1:7" x14ac:dyDescent="0.25">
      <c r="A423" s="35" t="s">
        <v>43</v>
      </c>
      <c r="B423" s="36">
        <v>71</v>
      </c>
      <c r="C423" s="35" t="s">
        <v>491</v>
      </c>
      <c r="D423" s="37">
        <v>39.8</v>
      </c>
      <c r="E423" s="36">
        <v>2386</v>
      </c>
      <c r="F423" s="35" t="s">
        <v>1243</v>
      </c>
      <c r="G423" s="35" t="s">
        <v>1314</v>
      </c>
    </row>
    <row r="424" ht="20" customHeight="1" spans="1:7" x14ac:dyDescent="0.25">
      <c r="A424" s="17" t="s">
        <v>43</v>
      </c>
      <c r="B424" s="33">
        <v>72</v>
      </c>
      <c r="C424" s="17" t="s">
        <v>492</v>
      </c>
      <c r="D424" s="18">
        <v>38.5</v>
      </c>
      <c r="E424" s="33">
        <v>2307</v>
      </c>
      <c r="F424" s="17" t="s">
        <v>1243</v>
      </c>
      <c r="G424" s="17" t="s">
        <v>1315</v>
      </c>
    </row>
    <row r="425" ht="20" customHeight="1" spans="1:7" x14ac:dyDescent="0.25">
      <c r="A425" s="35" t="s">
        <v>43</v>
      </c>
      <c r="B425" s="36">
        <v>73</v>
      </c>
      <c r="C425" s="35" t="s">
        <v>508</v>
      </c>
      <c r="D425" s="37">
        <v>52.6</v>
      </c>
      <c r="E425" s="36">
        <v>3154</v>
      </c>
      <c r="F425" s="35" t="s">
        <v>1243</v>
      </c>
      <c r="G425" s="35" t="s">
        <v>1316</v>
      </c>
    </row>
    <row r="426" ht="20" customHeight="1" spans="1:7" x14ac:dyDescent="0.25">
      <c r="A426" s="17" t="s">
        <v>43</v>
      </c>
      <c r="B426" s="33">
        <v>74</v>
      </c>
      <c r="C426" s="17" t="s">
        <v>509</v>
      </c>
      <c r="D426" s="18">
        <v>41.6</v>
      </c>
      <c r="E426" s="33">
        <v>2499</v>
      </c>
      <c r="F426" s="17" t="s">
        <v>1243</v>
      </c>
      <c r="G426" s="17" t="s">
        <v>1317</v>
      </c>
    </row>
    <row r="427" ht="20" customHeight="1" spans="1:7" x14ac:dyDescent="0.25">
      <c r="A427" s="35" t="s">
        <v>43</v>
      </c>
      <c r="B427" s="36">
        <v>75</v>
      </c>
      <c r="C427" s="35" t="s">
        <v>514</v>
      </c>
      <c r="D427" s="37">
        <v>53</v>
      </c>
      <c r="E427" s="36">
        <v>3182</v>
      </c>
      <c r="F427" s="35" t="s">
        <v>1243</v>
      </c>
      <c r="G427" s="35" t="s">
        <v>1318</v>
      </c>
    </row>
    <row r="428" ht="20" customHeight="1" spans="1:7" x14ac:dyDescent="0.25">
      <c r="A428" s="17" t="s">
        <v>43</v>
      </c>
      <c r="B428" s="33">
        <v>76</v>
      </c>
      <c r="C428" s="17" t="s">
        <v>515</v>
      </c>
      <c r="D428" s="18">
        <v>34.8</v>
      </c>
      <c r="E428" s="33">
        <v>2088</v>
      </c>
      <c r="F428" s="17" t="s">
        <v>1243</v>
      </c>
      <c r="G428" s="17" t="s">
        <v>1319</v>
      </c>
    </row>
    <row r="429" ht="20" customHeight="1" spans="1:7" x14ac:dyDescent="0.25">
      <c r="A429" s="35" t="s">
        <v>43</v>
      </c>
      <c r="B429" s="36">
        <v>77</v>
      </c>
      <c r="C429" s="35" t="s">
        <v>531</v>
      </c>
      <c r="D429" s="37">
        <v>69.7</v>
      </c>
      <c r="E429" s="36">
        <v>4182</v>
      </c>
      <c r="F429" s="35" t="s">
        <v>1243</v>
      </c>
      <c r="G429" s="35" t="s">
        <v>1320</v>
      </c>
    </row>
    <row r="430" ht="20" customHeight="1" spans="1:7" x14ac:dyDescent="0.25">
      <c r="A430" s="17" t="s">
        <v>43</v>
      </c>
      <c r="B430" s="33">
        <v>78</v>
      </c>
      <c r="C430" s="17" t="s">
        <v>532</v>
      </c>
      <c r="D430" s="18">
        <v>58</v>
      </c>
      <c r="E430" s="33">
        <v>3480</v>
      </c>
      <c r="F430" s="17" t="s">
        <v>1243</v>
      </c>
      <c r="G430" s="17" t="s">
        <v>1321</v>
      </c>
    </row>
    <row r="431" ht="20" customHeight="1" spans="1:7" x14ac:dyDescent="0.25">
      <c r="A431" s="35" t="s">
        <v>43</v>
      </c>
      <c r="B431" s="36">
        <v>79</v>
      </c>
      <c r="C431" s="35" t="s">
        <v>537</v>
      </c>
      <c r="D431" s="37">
        <v>45.4</v>
      </c>
      <c r="E431" s="36">
        <v>2724</v>
      </c>
      <c r="F431" s="35" t="s">
        <v>1243</v>
      </c>
      <c r="G431" s="35" t="s">
        <v>1322</v>
      </c>
    </row>
    <row r="432" ht="20" customHeight="1" spans="1:7" x14ac:dyDescent="0.25">
      <c r="A432" s="17" t="s">
        <v>43</v>
      </c>
      <c r="B432" s="33">
        <v>80</v>
      </c>
      <c r="C432" s="17" t="s">
        <v>538</v>
      </c>
      <c r="D432" s="18">
        <v>32.7</v>
      </c>
      <c r="E432" s="33">
        <v>1963</v>
      </c>
      <c r="F432" s="17" t="s">
        <v>1243</v>
      </c>
      <c r="G432" s="17" t="s">
        <v>1323</v>
      </c>
    </row>
    <row r="433" ht="20" customHeight="1" spans="1:7" x14ac:dyDescent="0.25">
      <c r="A433" s="35" t="s">
        <v>43</v>
      </c>
      <c r="B433" s="36">
        <v>81</v>
      </c>
      <c r="C433" s="35" t="s">
        <v>554</v>
      </c>
      <c r="D433" s="37">
        <v>37.2</v>
      </c>
      <c r="E433" s="36">
        <v>2233</v>
      </c>
      <c r="F433" s="35" t="s">
        <v>1243</v>
      </c>
      <c r="G433" s="35" t="s">
        <v>1324</v>
      </c>
    </row>
    <row r="434" ht="20" customHeight="1" spans="1:7" x14ac:dyDescent="0.25">
      <c r="A434" s="17" t="s">
        <v>43</v>
      </c>
      <c r="B434" s="33">
        <v>82</v>
      </c>
      <c r="C434" s="17" t="s">
        <v>555</v>
      </c>
      <c r="D434" s="18">
        <v>67.8</v>
      </c>
      <c r="E434" s="33">
        <v>4067</v>
      </c>
      <c r="F434" s="17" t="s">
        <v>1243</v>
      </c>
      <c r="G434" s="17" t="s">
        <v>1325</v>
      </c>
    </row>
    <row r="435" ht="20" customHeight="1" spans="1:7" x14ac:dyDescent="0.25">
      <c r="A435" s="35" t="s">
        <v>43</v>
      </c>
      <c r="B435" s="36">
        <v>83</v>
      </c>
      <c r="C435" s="35" t="s">
        <v>558</v>
      </c>
      <c r="D435" s="37">
        <v>50.2</v>
      </c>
      <c r="E435" s="36">
        <v>3015</v>
      </c>
      <c r="F435" s="35" t="s">
        <v>1243</v>
      </c>
      <c r="G435" s="35" t="s">
        <v>1326</v>
      </c>
    </row>
    <row r="436" ht="20" customHeight="1" spans="1:7" x14ac:dyDescent="0.25">
      <c r="A436" s="17" t="s">
        <v>43</v>
      </c>
      <c r="B436" s="33">
        <v>84</v>
      </c>
      <c r="C436" s="17" t="s">
        <v>559</v>
      </c>
      <c r="D436" s="18">
        <v>31.1</v>
      </c>
      <c r="E436" s="33">
        <v>1864</v>
      </c>
      <c r="F436" s="17" t="s">
        <v>1243</v>
      </c>
      <c r="G436" s="17" t="s">
        <v>1327</v>
      </c>
    </row>
    <row r="437" ht="20" customHeight="1" spans="1:7" x14ac:dyDescent="0.25">
      <c r="A437" s="35" t="s">
        <v>43</v>
      </c>
      <c r="B437" s="36">
        <v>85</v>
      </c>
      <c r="C437" s="35" t="s">
        <v>574</v>
      </c>
      <c r="D437" s="37">
        <v>31.1</v>
      </c>
      <c r="E437" s="36">
        <v>1869</v>
      </c>
      <c r="F437" s="35" t="s">
        <v>1243</v>
      </c>
      <c r="G437" s="35" t="s">
        <v>1328</v>
      </c>
    </row>
    <row r="438" ht="20" customHeight="1" spans="1:7" x14ac:dyDescent="0.25">
      <c r="A438" s="17" t="s">
        <v>43</v>
      </c>
      <c r="B438" s="33">
        <v>86</v>
      </c>
      <c r="C438" s="17" t="s">
        <v>575</v>
      </c>
      <c r="D438" s="18">
        <v>55.8</v>
      </c>
      <c r="E438" s="33">
        <v>3350</v>
      </c>
      <c r="F438" s="17" t="s">
        <v>1243</v>
      </c>
      <c r="G438" s="17" t="s">
        <v>1329</v>
      </c>
    </row>
    <row r="439" ht="20" customHeight="1" spans="1:7" x14ac:dyDescent="0.25">
      <c r="A439" s="35" t="s">
        <v>43</v>
      </c>
      <c r="B439" s="36">
        <v>87</v>
      </c>
      <c r="C439" s="35" t="s">
        <v>578</v>
      </c>
      <c r="D439" s="37">
        <v>53.6</v>
      </c>
      <c r="E439" s="36">
        <v>3216</v>
      </c>
      <c r="F439" s="35" t="s">
        <v>1243</v>
      </c>
      <c r="G439" s="35" t="s">
        <v>1330</v>
      </c>
    </row>
    <row r="440" ht="20" customHeight="1" spans="1:7" x14ac:dyDescent="0.25">
      <c r="A440" s="17" t="s">
        <v>43</v>
      </c>
      <c r="B440" s="33">
        <v>88</v>
      </c>
      <c r="C440" s="17" t="s">
        <v>579</v>
      </c>
      <c r="D440" s="18">
        <v>48.3</v>
      </c>
      <c r="E440" s="33">
        <v>2899</v>
      </c>
      <c r="F440" s="17" t="s">
        <v>1243</v>
      </c>
      <c r="G440" s="17" t="s">
        <v>1331</v>
      </c>
    </row>
    <row r="441" ht="20" customHeight="1" spans="1:7" x14ac:dyDescent="0.25">
      <c r="A441" s="35" t="s">
        <v>43</v>
      </c>
      <c r="B441" s="36">
        <v>89</v>
      </c>
      <c r="C441" s="35" t="s">
        <v>593</v>
      </c>
      <c r="D441" s="37">
        <v>35.3</v>
      </c>
      <c r="E441" s="36">
        <v>2117</v>
      </c>
      <c r="F441" s="35" t="s">
        <v>1243</v>
      </c>
      <c r="G441" s="35" t="s">
        <v>1332</v>
      </c>
    </row>
    <row r="442" ht="20" customHeight="1" spans="1:7" x14ac:dyDescent="0.25">
      <c r="A442" s="17" t="s">
        <v>43</v>
      </c>
      <c r="B442" s="33">
        <v>90</v>
      </c>
      <c r="C442" s="17" t="s">
        <v>594</v>
      </c>
      <c r="D442" s="18">
        <v>23.1</v>
      </c>
      <c r="E442" s="33">
        <v>1388</v>
      </c>
      <c r="F442" s="17" t="s">
        <v>1243</v>
      </c>
      <c r="G442" s="17" t="s">
        <v>1333</v>
      </c>
    </row>
    <row r="443" ht="20" customHeight="1" spans="1:7" x14ac:dyDescent="0.25">
      <c r="A443" s="35" t="s">
        <v>43</v>
      </c>
      <c r="B443" s="36">
        <v>91</v>
      </c>
      <c r="C443" s="35" t="s">
        <v>597</v>
      </c>
      <c r="D443" s="37">
        <v>28.1</v>
      </c>
      <c r="E443" s="36">
        <v>1685</v>
      </c>
      <c r="F443" s="35" t="s">
        <v>1243</v>
      </c>
      <c r="G443" s="35" t="s">
        <v>1334</v>
      </c>
    </row>
    <row r="444" ht="20" customHeight="1" spans="1:7" x14ac:dyDescent="0.25">
      <c r="A444" s="17" t="s">
        <v>43</v>
      </c>
      <c r="B444" s="33">
        <v>92</v>
      </c>
      <c r="C444" s="17" t="s">
        <v>598</v>
      </c>
      <c r="D444" s="18">
        <v>34</v>
      </c>
      <c r="E444" s="33">
        <v>2038</v>
      </c>
      <c r="F444" s="17" t="s">
        <v>1243</v>
      </c>
      <c r="G444" s="17" t="s">
        <v>1335</v>
      </c>
    </row>
    <row r="445" ht="20" customHeight="1" spans="1:7" x14ac:dyDescent="0.25">
      <c r="A445" s="35" t="s">
        <v>43</v>
      </c>
      <c r="B445" s="36">
        <v>93</v>
      </c>
      <c r="C445" s="35" t="s">
        <v>612</v>
      </c>
      <c r="D445" s="37">
        <v>47.1</v>
      </c>
      <c r="E445" s="36">
        <v>2828</v>
      </c>
      <c r="F445" s="35" t="s">
        <v>1243</v>
      </c>
      <c r="G445" s="35" t="s">
        <v>1336</v>
      </c>
    </row>
    <row r="446" ht="20" customHeight="1" spans="1:7" x14ac:dyDescent="0.25">
      <c r="A446" s="17" t="s">
        <v>43</v>
      </c>
      <c r="B446" s="33">
        <v>94</v>
      </c>
      <c r="C446" s="17" t="s">
        <v>613</v>
      </c>
      <c r="D446" s="18">
        <v>50.4</v>
      </c>
      <c r="E446" s="33">
        <v>3023</v>
      </c>
      <c r="F446" s="17" t="s">
        <v>1243</v>
      </c>
      <c r="G446" s="17" t="s">
        <v>1337</v>
      </c>
    </row>
    <row r="447" ht="20" customHeight="1" spans="1:7" x14ac:dyDescent="0.25">
      <c r="A447" s="35" t="s">
        <v>43</v>
      </c>
      <c r="B447" s="36">
        <v>95</v>
      </c>
      <c r="C447" s="35" t="s">
        <v>616</v>
      </c>
      <c r="D447" s="37">
        <v>61.3</v>
      </c>
      <c r="E447" s="36">
        <v>3679</v>
      </c>
      <c r="F447" s="35" t="s">
        <v>1243</v>
      </c>
      <c r="G447" s="35" t="s">
        <v>1338</v>
      </c>
    </row>
    <row r="448" ht="20" customHeight="1" spans="1:7" x14ac:dyDescent="0.25">
      <c r="A448" s="17" t="s">
        <v>43</v>
      </c>
      <c r="B448" s="33">
        <v>96</v>
      </c>
      <c r="C448" s="17" t="s">
        <v>617</v>
      </c>
      <c r="D448" s="18">
        <v>44.6</v>
      </c>
      <c r="E448" s="33">
        <v>2679</v>
      </c>
      <c r="F448" s="17" t="s">
        <v>1243</v>
      </c>
      <c r="G448" s="17" t="s">
        <v>1339</v>
      </c>
    </row>
    <row r="449" ht="20" customHeight="1" spans="1:7" x14ac:dyDescent="0.25">
      <c r="A449" s="35" t="s">
        <v>43</v>
      </c>
      <c r="B449" s="36">
        <v>97</v>
      </c>
      <c r="C449" s="35" t="s">
        <v>631</v>
      </c>
      <c r="D449" s="37">
        <v>26.3</v>
      </c>
      <c r="E449" s="36">
        <v>1580</v>
      </c>
      <c r="F449" s="35" t="s">
        <v>1243</v>
      </c>
      <c r="G449" s="35" t="s">
        <v>1340</v>
      </c>
    </row>
    <row r="450" ht="20" customHeight="1" spans="1:7" x14ac:dyDescent="0.25">
      <c r="A450" s="17" t="s">
        <v>43</v>
      </c>
      <c r="B450" s="33">
        <v>98</v>
      </c>
      <c r="C450" s="17" t="s">
        <v>632</v>
      </c>
      <c r="D450" s="18">
        <v>36.5</v>
      </c>
      <c r="E450" s="33">
        <v>2188</v>
      </c>
      <c r="F450" s="17" t="s">
        <v>1243</v>
      </c>
      <c r="G450" s="17" t="s">
        <v>1341</v>
      </c>
    </row>
    <row r="451" ht="20" customHeight="1" spans="1:7" x14ac:dyDescent="0.25">
      <c r="A451" s="35" t="s">
        <v>43</v>
      </c>
      <c r="B451" s="36">
        <v>99</v>
      </c>
      <c r="C451" s="35" t="s">
        <v>635</v>
      </c>
      <c r="D451" s="37">
        <v>35.4</v>
      </c>
      <c r="E451" s="36">
        <v>2125</v>
      </c>
      <c r="F451" s="35" t="s">
        <v>1243</v>
      </c>
      <c r="G451" s="35" t="s">
        <v>1342</v>
      </c>
    </row>
    <row r="452" ht="20" customHeight="1" spans="1:7" x14ac:dyDescent="0.25">
      <c r="A452" s="17" t="s">
        <v>43</v>
      </c>
      <c r="B452" s="33">
        <v>100</v>
      </c>
      <c r="C452" s="17" t="s">
        <v>636</v>
      </c>
      <c r="D452" s="18">
        <v>35.1</v>
      </c>
      <c r="E452" s="33">
        <v>2109</v>
      </c>
      <c r="F452" s="17" t="s">
        <v>1243</v>
      </c>
      <c r="G452" s="17" t="s">
        <v>1343</v>
      </c>
    </row>
    <row r="453" ht="20" customHeight="1" spans="1:7" x14ac:dyDescent="0.25">
      <c r="A453" s="35" t="s">
        <v>43</v>
      </c>
      <c r="B453" s="36">
        <v>101</v>
      </c>
      <c r="C453" s="35" t="s">
        <v>650</v>
      </c>
      <c r="D453" s="37">
        <v>54.5</v>
      </c>
      <c r="E453" s="36">
        <v>3270</v>
      </c>
      <c r="F453" s="35" t="s">
        <v>1243</v>
      </c>
      <c r="G453" s="35" t="s">
        <v>1344</v>
      </c>
    </row>
    <row r="454" ht="20" customHeight="1" spans="1:7" x14ac:dyDescent="0.25">
      <c r="A454" s="17" t="s">
        <v>43</v>
      </c>
      <c r="B454" s="33">
        <v>102</v>
      </c>
      <c r="C454" s="17" t="s">
        <v>651</v>
      </c>
      <c r="D454" s="18">
        <v>31.8</v>
      </c>
      <c r="E454" s="33">
        <v>1905</v>
      </c>
      <c r="F454" s="17" t="s">
        <v>1243</v>
      </c>
      <c r="G454" s="17" t="s">
        <v>1345</v>
      </c>
    </row>
    <row r="455" ht="20" customHeight="1" spans="1:7" x14ac:dyDescent="0.25">
      <c r="A455" s="35" t="s">
        <v>43</v>
      </c>
      <c r="B455" s="36">
        <v>103</v>
      </c>
      <c r="C455" s="35" t="s">
        <v>654</v>
      </c>
      <c r="D455" s="37">
        <v>60.5</v>
      </c>
      <c r="E455" s="36">
        <v>3632</v>
      </c>
      <c r="F455" s="35" t="s">
        <v>1243</v>
      </c>
      <c r="G455" s="35" t="s">
        <v>1346</v>
      </c>
    </row>
    <row r="456" ht="20" customHeight="1" spans="1:7" x14ac:dyDescent="0.25">
      <c r="A456" s="17" t="s">
        <v>43</v>
      </c>
      <c r="B456" s="33">
        <v>104</v>
      </c>
      <c r="C456" s="17" t="s">
        <v>655</v>
      </c>
      <c r="D456" s="18">
        <v>56.2</v>
      </c>
      <c r="E456" s="33">
        <v>3375</v>
      </c>
      <c r="F456" s="17" t="s">
        <v>1243</v>
      </c>
      <c r="G456" s="17" t="s">
        <v>1347</v>
      </c>
    </row>
    <row r="457" ht="20" customHeight="1" spans="1:7" x14ac:dyDescent="0.25">
      <c r="A457" s="35" t="s">
        <v>43</v>
      </c>
      <c r="B457" s="36">
        <v>105</v>
      </c>
      <c r="C457" s="35" t="s">
        <v>669</v>
      </c>
      <c r="D457" s="37">
        <v>37.4</v>
      </c>
      <c r="E457" s="36">
        <v>2245</v>
      </c>
      <c r="F457" s="35" t="s">
        <v>1243</v>
      </c>
      <c r="G457" s="35" t="s">
        <v>1348</v>
      </c>
    </row>
    <row r="458" ht="20" customHeight="1" spans="1:7" x14ac:dyDescent="0.25">
      <c r="A458" s="17" t="s">
        <v>43</v>
      </c>
      <c r="B458" s="33">
        <v>106</v>
      </c>
      <c r="C458" s="17" t="s">
        <v>670</v>
      </c>
      <c r="D458" s="18">
        <v>36.9</v>
      </c>
      <c r="E458" s="33">
        <v>2215</v>
      </c>
      <c r="F458" s="17" t="s">
        <v>1243</v>
      </c>
      <c r="G458" s="17" t="s">
        <v>1349</v>
      </c>
    </row>
    <row r="459" ht="20" customHeight="1" spans="1:7" x14ac:dyDescent="0.25">
      <c r="A459" s="35" t="s">
        <v>43</v>
      </c>
      <c r="B459" s="36">
        <v>107</v>
      </c>
      <c r="C459" s="35" t="s">
        <v>673</v>
      </c>
      <c r="D459" s="37">
        <v>30.3</v>
      </c>
      <c r="E459" s="36">
        <v>1820</v>
      </c>
      <c r="F459" s="35" t="s">
        <v>1243</v>
      </c>
      <c r="G459" s="35" t="s">
        <v>1350</v>
      </c>
    </row>
    <row r="460" ht="20" customHeight="1" spans="1:7" x14ac:dyDescent="0.25">
      <c r="A460" s="17" t="s">
        <v>43</v>
      </c>
      <c r="B460" s="33">
        <v>108</v>
      </c>
      <c r="C460" s="17" t="s">
        <v>674</v>
      </c>
      <c r="D460" s="18">
        <v>32.4</v>
      </c>
      <c r="E460" s="33">
        <v>1945</v>
      </c>
      <c r="F460" s="17" t="s">
        <v>1243</v>
      </c>
      <c r="G460" s="17" t="s">
        <v>1351</v>
      </c>
    </row>
    <row r="461" ht="20" customHeight="1" spans="1:7" x14ac:dyDescent="0.25">
      <c r="A461" s="35" t="s">
        <v>43</v>
      </c>
      <c r="B461" s="36">
        <v>109</v>
      </c>
      <c r="C461" s="35" t="s">
        <v>688</v>
      </c>
      <c r="D461" s="37">
        <v>20.2</v>
      </c>
      <c r="E461" s="36">
        <v>1215</v>
      </c>
      <c r="F461" s="35" t="s">
        <v>1243</v>
      </c>
      <c r="G461" s="35" t="s">
        <v>1352</v>
      </c>
    </row>
    <row r="462" ht="20" customHeight="1" spans="1:7" x14ac:dyDescent="0.25">
      <c r="A462" s="17" t="s">
        <v>43</v>
      </c>
      <c r="B462" s="33">
        <v>110</v>
      </c>
      <c r="C462" s="17" t="s">
        <v>689</v>
      </c>
      <c r="D462" s="18">
        <v>42.3</v>
      </c>
      <c r="E462" s="33">
        <v>2539</v>
      </c>
      <c r="F462" s="17" t="s">
        <v>1243</v>
      </c>
      <c r="G462" s="17" t="s">
        <v>1353</v>
      </c>
    </row>
    <row r="463" ht="20" customHeight="1" spans="1:7" x14ac:dyDescent="0.25">
      <c r="A463" s="35" t="s">
        <v>43</v>
      </c>
      <c r="B463" s="36">
        <v>111</v>
      </c>
      <c r="C463" s="35" t="s">
        <v>692</v>
      </c>
      <c r="D463" s="37">
        <v>27.9</v>
      </c>
      <c r="E463" s="36">
        <v>1677</v>
      </c>
      <c r="F463" s="35" t="s">
        <v>1243</v>
      </c>
      <c r="G463" s="35" t="s">
        <v>1354</v>
      </c>
    </row>
    <row r="464" ht="20" customHeight="1" spans="1:7" x14ac:dyDescent="0.25">
      <c r="A464" s="17" t="s">
        <v>43</v>
      </c>
      <c r="B464" s="33">
        <v>112</v>
      </c>
      <c r="C464" s="17" t="s">
        <v>693</v>
      </c>
      <c r="D464" s="18">
        <v>18.3</v>
      </c>
      <c r="E464" s="33">
        <v>1098</v>
      </c>
      <c r="F464" s="17" t="s">
        <v>1243</v>
      </c>
      <c r="G464" s="17" t="s">
        <v>1355</v>
      </c>
    </row>
    <row r="465" ht="20" customHeight="1" spans="1:7" x14ac:dyDescent="0.25">
      <c r="A465" s="35" t="s">
        <v>43</v>
      </c>
      <c r="B465" s="36">
        <v>113</v>
      </c>
      <c r="C465" s="35" t="s">
        <v>707</v>
      </c>
      <c r="D465" s="37">
        <v>43.9</v>
      </c>
      <c r="E465" s="36">
        <v>2633</v>
      </c>
      <c r="F465" s="35" t="s">
        <v>1243</v>
      </c>
      <c r="G465" s="35" t="s">
        <v>1356</v>
      </c>
    </row>
    <row r="466" ht="20" customHeight="1" spans="1:7" x14ac:dyDescent="0.25">
      <c r="A466" s="17" t="s">
        <v>43</v>
      </c>
      <c r="B466" s="33">
        <v>114</v>
      </c>
      <c r="C466" s="17" t="s">
        <v>708</v>
      </c>
      <c r="D466" s="18">
        <v>33.4</v>
      </c>
      <c r="E466" s="33">
        <v>2001</v>
      </c>
      <c r="F466" s="17" t="s">
        <v>1243</v>
      </c>
      <c r="G466" s="17" t="s">
        <v>1357</v>
      </c>
    </row>
    <row r="467" ht="20" customHeight="1" spans="1:7" x14ac:dyDescent="0.25">
      <c r="A467" s="35" t="s">
        <v>43</v>
      </c>
      <c r="B467" s="36">
        <v>115</v>
      </c>
      <c r="C467" s="35" t="s">
        <v>711</v>
      </c>
      <c r="D467" s="37">
        <v>16.5</v>
      </c>
      <c r="E467" s="36">
        <v>992</v>
      </c>
      <c r="F467" s="35" t="s">
        <v>1243</v>
      </c>
      <c r="G467" s="35" t="s">
        <v>1358</v>
      </c>
    </row>
    <row r="468" ht="20" customHeight="1" spans="1:7" x14ac:dyDescent="0.25">
      <c r="A468" s="17" t="s">
        <v>43</v>
      </c>
      <c r="B468" s="33">
        <v>116</v>
      </c>
      <c r="C468" s="17" t="s">
        <v>712</v>
      </c>
      <c r="D468" s="18">
        <v>35.2</v>
      </c>
      <c r="E468" s="33">
        <v>2111</v>
      </c>
      <c r="F468" s="17" t="s">
        <v>1243</v>
      </c>
      <c r="G468" s="17" t="s">
        <v>1359</v>
      </c>
    </row>
    <row r="469" ht="20" customHeight="1" spans="1:7" x14ac:dyDescent="0.25">
      <c r="A469" s="35" t="s">
        <v>43</v>
      </c>
      <c r="B469" s="36">
        <v>117</v>
      </c>
      <c r="C469" s="35" t="s">
        <v>726</v>
      </c>
      <c r="D469" s="37">
        <v>16.5</v>
      </c>
      <c r="E469" s="36">
        <v>989</v>
      </c>
      <c r="F469" s="35" t="s">
        <v>1243</v>
      </c>
      <c r="G469" s="35" t="s">
        <v>1360</v>
      </c>
    </row>
    <row r="470" ht="20" customHeight="1" spans="1:7" x14ac:dyDescent="0.25">
      <c r="A470" s="17" t="s">
        <v>43</v>
      </c>
      <c r="B470" s="33">
        <v>118</v>
      </c>
      <c r="C470" s="17" t="s">
        <v>727</v>
      </c>
      <c r="D470" s="18">
        <v>53.6</v>
      </c>
      <c r="E470" s="33">
        <v>3218</v>
      </c>
      <c r="F470" s="17" t="s">
        <v>1243</v>
      </c>
      <c r="G470" s="17" t="s">
        <v>1361</v>
      </c>
    </row>
    <row r="471" ht="20" customHeight="1" spans="1:7" x14ac:dyDescent="0.25">
      <c r="A471" s="35" t="s">
        <v>52</v>
      </c>
      <c r="B471" s="36">
        <v>1</v>
      </c>
      <c r="C471" s="35" t="s">
        <v>53</v>
      </c>
      <c r="D471" s="37">
        <v>9.3</v>
      </c>
      <c r="E471" s="36">
        <v>558</v>
      </c>
      <c r="F471" s="35" t="s">
        <v>1362</v>
      </c>
      <c r="G471" s="35" t="s">
        <v>1363</v>
      </c>
    </row>
    <row r="472" ht="20" customHeight="1" spans="1:7" x14ac:dyDescent="0.25">
      <c r="A472" s="17" t="s">
        <v>52</v>
      </c>
      <c r="B472" s="33">
        <v>2</v>
      </c>
      <c r="C472" s="17" t="s">
        <v>55</v>
      </c>
      <c r="D472" s="18">
        <v>13.4</v>
      </c>
      <c r="E472" s="33">
        <v>804</v>
      </c>
      <c r="F472" s="17" t="s">
        <v>1362</v>
      </c>
      <c r="G472" s="17" t="s">
        <v>1364</v>
      </c>
    </row>
    <row r="473" ht="20" customHeight="1" spans="1:7" x14ac:dyDescent="0.25">
      <c r="A473" s="35" t="s">
        <v>52</v>
      </c>
      <c r="B473" s="36">
        <v>3</v>
      </c>
      <c r="C473" s="35" t="s">
        <v>77</v>
      </c>
      <c r="D473" s="37">
        <v>45</v>
      </c>
      <c r="E473" s="36">
        <v>2698</v>
      </c>
      <c r="F473" s="35" t="s">
        <v>1362</v>
      </c>
      <c r="G473" s="35" t="s">
        <v>1365</v>
      </c>
    </row>
    <row r="474" ht="20" customHeight="1" spans="1:7" x14ac:dyDescent="0.25">
      <c r="A474" s="17" t="s">
        <v>52</v>
      </c>
      <c r="B474" s="33">
        <v>4</v>
      </c>
      <c r="C474" s="17" t="s">
        <v>78</v>
      </c>
      <c r="D474" s="18">
        <v>34.6</v>
      </c>
      <c r="E474" s="33">
        <v>2076</v>
      </c>
      <c r="F474" s="17" t="s">
        <v>1362</v>
      </c>
      <c r="G474" s="17" t="s">
        <v>1366</v>
      </c>
    </row>
    <row r="475" ht="20" customHeight="1" spans="1:7" x14ac:dyDescent="0.25">
      <c r="A475" s="35" t="s">
        <v>52</v>
      </c>
      <c r="B475" s="36">
        <v>5</v>
      </c>
      <c r="C475" s="35" t="s">
        <v>89</v>
      </c>
      <c r="D475" s="37">
        <v>14.5</v>
      </c>
      <c r="E475" s="36">
        <v>868</v>
      </c>
      <c r="F475" s="35" t="s">
        <v>1362</v>
      </c>
      <c r="G475" s="35" t="s">
        <v>1367</v>
      </c>
    </row>
    <row r="476" ht="20" customHeight="1" spans="1:7" x14ac:dyDescent="0.25">
      <c r="A476" s="17" t="s">
        <v>52</v>
      </c>
      <c r="B476" s="33">
        <v>6</v>
      </c>
      <c r="C476" s="17" t="s">
        <v>90</v>
      </c>
      <c r="D476" s="18">
        <v>31.9</v>
      </c>
      <c r="E476" s="33">
        <v>1916</v>
      </c>
      <c r="F476" s="17" t="s">
        <v>1362</v>
      </c>
      <c r="G476" s="17" t="s">
        <v>1368</v>
      </c>
    </row>
    <row r="477" ht="20" customHeight="1" spans="1:7" x14ac:dyDescent="0.25">
      <c r="A477" s="35" t="s">
        <v>52</v>
      </c>
      <c r="B477" s="36">
        <v>7</v>
      </c>
      <c r="C477" s="35" t="s">
        <v>103</v>
      </c>
      <c r="D477" s="37">
        <v>10.8</v>
      </c>
      <c r="E477" s="36">
        <v>646</v>
      </c>
      <c r="F477" s="35" t="s">
        <v>1362</v>
      </c>
      <c r="G477" s="35" t="s">
        <v>1369</v>
      </c>
    </row>
    <row r="478" ht="20" customHeight="1" spans="1:7" x14ac:dyDescent="0.25">
      <c r="A478" s="17" t="s">
        <v>52</v>
      </c>
      <c r="B478" s="33">
        <v>8</v>
      </c>
      <c r="C478" s="17" t="s">
        <v>104</v>
      </c>
      <c r="D478" s="18">
        <v>53.6</v>
      </c>
      <c r="E478" s="33">
        <v>3214</v>
      </c>
      <c r="F478" s="17" t="s">
        <v>1362</v>
      </c>
      <c r="G478" s="17" t="s">
        <v>1370</v>
      </c>
    </row>
    <row r="479" ht="20" customHeight="1" spans="1:7" x14ac:dyDescent="0.25">
      <c r="A479" s="35" t="s">
        <v>52</v>
      </c>
      <c r="B479" s="36">
        <v>9</v>
      </c>
      <c r="C479" s="35" t="s">
        <v>114</v>
      </c>
      <c r="D479" s="37">
        <v>16.8</v>
      </c>
      <c r="E479" s="36">
        <v>1006</v>
      </c>
      <c r="F479" s="35" t="s">
        <v>1362</v>
      </c>
      <c r="G479" s="35" t="s">
        <v>1371</v>
      </c>
    </row>
    <row r="480" ht="20" customHeight="1" spans="1:7" x14ac:dyDescent="0.25">
      <c r="A480" s="17" t="s">
        <v>52</v>
      </c>
      <c r="B480" s="33">
        <v>10</v>
      </c>
      <c r="C480" s="17" t="s">
        <v>115</v>
      </c>
      <c r="D480" s="18">
        <v>27.3</v>
      </c>
      <c r="E480" s="33">
        <v>1637</v>
      </c>
      <c r="F480" s="17" t="s">
        <v>1362</v>
      </c>
      <c r="G480" s="17" t="s">
        <v>1372</v>
      </c>
    </row>
    <row r="481" ht="20" customHeight="1" spans="1:7" x14ac:dyDescent="0.25">
      <c r="A481" s="35" t="s">
        <v>52</v>
      </c>
      <c r="B481" s="36">
        <v>11</v>
      </c>
      <c r="C481" s="35" t="s">
        <v>128</v>
      </c>
      <c r="D481" s="37">
        <v>10.6</v>
      </c>
      <c r="E481" s="36">
        <v>635</v>
      </c>
      <c r="F481" s="35" t="s">
        <v>1362</v>
      </c>
      <c r="G481" s="35" t="s">
        <v>1373</v>
      </c>
    </row>
    <row r="482" ht="20" customHeight="1" spans="1:7" x14ac:dyDescent="0.25">
      <c r="A482" s="17" t="s">
        <v>52</v>
      </c>
      <c r="B482" s="33">
        <v>12</v>
      </c>
      <c r="C482" s="17" t="s">
        <v>129</v>
      </c>
      <c r="D482" s="18">
        <v>44.6</v>
      </c>
      <c r="E482" s="33">
        <v>2676</v>
      </c>
      <c r="F482" s="17" t="s">
        <v>1362</v>
      </c>
      <c r="G482" s="17" t="s">
        <v>1374</v>
      </c>
    </row>
    <row r="483" ht="20" customHeight="1" spans="1:7" x14ac:dyDescent="0.25">
      <c r="A483" s="35" t="s">
        <v>52</v>
      </c>
      <c r="B483" s="36">
        <v>13</v>
      </c>
      <c r="C483" s="35" t="s">
        <v>139</v>
      </c>
      <c r="D483" s="37">
        <v>30.2</v>
      </c>
      <c r="E483" s="36">
        <v>1811</v>
      </c>
      <c r="F483" s="35" t="s">
        <v>1362</v>
      </c>
      <c r="G483" s="35" t="s">
        <v>1375</v>
      </c>
    </row>
    <row r="484" ht="20" customHeight="1" spans="1:7" x14ac:dyDescent="0.25">
      <c r="A484" s="17" t="s">
        <v>52</v>
      </c>
      <c r="B484" s="33">
        <v>14</v>
      </c>
      <c r="C484" s="17" t="s">
        <v>140</v>
      </c>
      <c r="D484" s="18">
        <v>7.5</v>
      </c>
      <c r="E484" s="33">
        <v>447</v>
      </c>
      <c r="F484" s="17" t="s">
        <v>1362</v>
      </c>
      <c r="G484" s="17" t="s">
        <v>1376</v>
      </c>
    </row>
    <row r="485" ht="20" customHeight="1" spans="1:7" x14ac:dyDescent="0.25">
      <c r="A485" s="35" t="s">
        <v>52</v>
      </c>
      <c r="B485" s="36">
        <v>15</v>
      </c>
      <c r="C485" s="35" t="s">
        <v>153</v>
      </c>
      <c r="D485" s="37">
        <v>16.4</v>
      </c>
      <c r="E485" s="36">
        <v>983</v>
      </c>
      <c r="F485" s="35" t="s">
        <v>1362</v>
      </c>
      <c r="G485" s="35" t="s">
        <v>1377</v>
      </c>
    </row>
    <row r="486" ht="20" customHeight="1" spans="1:7" x14ac:dyDescent="0.25">
      <c r="A486" s="17" t="s">
        <v>52</v>
      </c>
      <c r="B486" s="33">
        <v>16</v>
      </c>
      <c r="C486" s="17" t="s">
        <v>154</v>
      </c>
      <c r="D486" s="18">
        <v>36.1</v>
      </c>
      <c r="E486" s="33">
        <v>2165</v>
      </c>
      <c r="F486" s="17" t="s">
        <v>1362</v>
      </c>
      <c r="G486" s="17" t="s">
        <v>1378</v>
      </c>
    </row>
    <row r="487" ht="20" customHeight="1" spans="1:7" x14ac:dyDescent="0.25">
      <c r="A487" s="35" t="s">
        <v>52</v>
      </c>
      <c r="B487" s="36">
        <v>17</v>
      </c>
      <c r="C487" s="35" t="s">
        <v>164</v>
      </c>
      <c r="D487" s="37">
        <v>25.9</v>
      </c>
      <c r="E487" s="36">
        <v>1551</v>
      </c>
      <c r="F487" s="35" t="s">
        <v>1362</v>
      </c>
      <c r="G487" s="35" t="s">
        <v>1379</v>
      </c>
    </row>
    <row r="488" ht="20" customHeight="1" spans="1:7" x14ac:dyDescent="0.25">
      <c r="A488" s="17" t="s">
        <v>52</v>
      </c>
      <c r="B488" s="33">
        <v>18</v>
      </c>
      <c r="C488" s="17" t="s">
        <v>165</v>
      </c>
      <c r="D488" s="18">
        <v>28.6</v>
      </c>
      <c r="E488" s="33">
        <v>1719</v>
      </c>
      <c r="F488" s="17" t="s">
        <v>1362</v>
      </c>
      <c r="G488" s="17" t="s">
        <v>1380</v>
      </c>
    </row>
    <row r="489" ht="20" customHeight="1" spans="1:7" x14ac:dyDescent="0.25">
      <c r="A489" s="35" t="s">
        <v>52</v>
      </c>
      <c r="B489" s="36">
        <v>19</v>
      </c>
      <c r="C489" s="35" t="s">
        <v>178</v>
      </c>
      <c r="D489" s="37">
        <v>19.9</v>
      </c>
      <c r="E489" s="36">
        <v>1196</v>
      </c>
      <c r="F489" s="35" t="s">
        <v>1362</v>
      </c>
      <c r="G489" s="35" t="s">
        <v>1381</v>
      </c>
    </row>
    <row r="490" ht="20" customHeight="1" spans="1:7" x14ac:dyDescent="0.25">
      <c r="A490" s="17" t="s">
        <v>52</v>
      </c>
      <c r="B490" s="33">
        <v>20</v>
      </c>
      <c r="C490" s="17" t="s">
        <v>179</v>
      </c>
      <c r="D490" s="18">
        <v>30.3</v>
      </c>
      <c r="E490" s="33">
        <v>1818</v>
      </c>
      <c r="F490" s="17" t="s">
        <v>1362</v>
      </c>
      <c r="G490" s="17" t="s">
        <v>1382</v>
      </c>
    </row>
    <row r="491" ht="20" customHeight="1" spans="1:7" x14ac:dyDescent="0.25">
      <c r="A491" s="35" t="s">
        <v>52</v>
      </c>
      <c r="B491" s="36">
        <v>21</v>
      </c>
      <c r="C491" s="35" t="s">
        <v>189</v>
      </c>
      <c r="D491" s="37">
        <v>18.4</v>
      </c>
      <c r="E491" s="36">
        <v>1102</v>
      </c>
      <c r="F491" s="35" t="s">
        <v>1362</v>
      </c>
      <c r="G491" s="35" t="s">
        <v>1383</v>
      </c>
    </row>
    <row r="492" ht="20" customHeight="1" spans="1:7" x14ac:dyDescent="0.25">
      <c r="A492" s="17" t="s">
        <v>52</v>
      </c>
      <c r="B492" s="33">
        <v>22</v>
      </c>
      <c r="C492" s="17" t="s">
        <v>190</v>
      </c>
      <c r="D492" s="18">
        <v>19.6</v>
      </c>
      <c r="E492" s="33">
        <v>1177</v>
      </c>
      <c r="F492" s="17" t="s">
        <v>1362</v>
      </c>
      <c r="G492" s="17" t="s">
        <v>1384</v>
      </c>
    </row>
    <row r="493" ht="20" customHeight="1" spans="1:7" x14ac:dyDescent="0.25">
      <c r="A493" s="35" t="s">
        <v>52</v>
      </c>
      <c r="B493" s="36">
        <v>23</v>
      </c>
      <c r="C493" s="35" t="s">
        <v>203</v>
      </c>
      <c r="D493" s="37">
        <v>44.1</v>
      </c>
      <c r="E493" s="36">
        <v>2646</v>
      </c>
      <c r="F493" s="35" t="s">
        <v>1362</v>
      </c>
      <c r="G493" s="35" t="s">
        <v>1385</v>
      </c>
    </row>
    <row r="494" ht="20" customHeight="1" spans="1:7" x14ac:dyDescent="0.25">
      <c r="A494" s="17" t="s">
        <v>52</v>
      </c>
      <c r="B494" s="33">
        <v>24</v>
      </c>
      <c r="C494" s="17" t="s">
        <v>204</v>
      </c>
      <c r="D494" s="18">
        <v>16.2</v>
      </c>
      <c r="E494" s="33">
        <v>971</v>
      </c>
      <c r="F494" s="17" t="s">
        <v>1362</v>
      </c>
      <c r="G494" s="17" t="s">
        <v>1386</v>
      </c>
    </row>
    <row r="495" ht="20" customHeight="1" spans="1:7" x14ac:dyDescent="0.25">
      <c r="A495" s="35" t="s">
        <v>52</v>
      </c>
      <c r="B495" s="36">
        <v>25</v>
      </c>
      <c r="C495" s="35" t="s">
        <v>214</v>
      </c>
      <c r="D495" s="37">
        <v>30.4</v>
      </c>
      <c r="E495" s="36">
        <v>1824</v>
      </c>
      <c r="F495" s="35" t="s">
        <v>1362</v>
      </c>
      <c r="G495" s="35" t="s">
        <v>1387</v>
      </c>
    </row>
    <row r="496" ht="20" customHeight="1" spans="1:7" x14ac:dyDescent="0.25">
      <c r="A496" s="17" t="s">
        <v>52</v>
      </c>
      <c r="B496" s="33">
        <v>26</v>
      </c>
      <c r="C496" s="17" t="s">
        <v>215</v>
      </c>
      <c r="D496" s="18">
        <v>39.7</v>
      </c>
      <c r="E496" s="33">
        <v>2380</v>
      </c>
      <c r="F496" s="17" t="s">
        <v>1362</v>
      </c>
      <c r="G496" s="17" t="s">
        <v>1388</v>
      </c>
    </row>
    <row r="497" ht="20" customHeight="1" spans="1:7" x14ac:dyDescent="0.25">
      <c r="A497" s="35" t="s">
        <v>52</v>
      </c>
      <c r="B497" s="36">
        <v>27</v>
      </c>
      <c r="C497" s="35" t="s">
        <v>228</v>
      </c>
      <c r="D497" s="37">
        <v>23.3</v>
      </c>
      <c r="E497" s="36">
        <v>1397</v>
      </c>
      <c r="F497" s="35" t="s">
        <v>1362</v>
      </c>
      <c r="G497" s="35" t="s">
        <v>1389</v>
      </c>
    </row>
    <row r="498" ht="20" customHeight="1" spans="1:7" x14ac:dyDescent="0.25">
      <c r="A498" s="17" t="s">
        <v>52</v>
      </c>
      <c r="B498" s="33">
        <v>28</v>
      </c>
      <c r="C498" s="17" t="s">
        <v>229</v>
      </c>
      <c r="D498" s="18">
        <v>63.9</v>
      </c>
      <c r="E498" s="33">
        <v>3835</v>
      </c>
      <c r="F498" s="17" t="s">
        <v>1362</v>
      </c>
      <c r="G498" s="17" t="s">
        <v>1390</v>
      </c>
    </row>
    <row r="499" ht="20" customHeight="1" spans="1:7" x14ac:dyDescent="0.25">
      <c r="A499" s="35" t="s">
        <v>52</v>
      </c>
      <c r="B499" s="36">
        <v>29</v>
      </c>
      <c r="C499" s="35" t="s">
        <v>239</v>
      </c>
      <c r="D499" s="37">
        <v>25.5</v>
      </c>
      <c r="E499" s="36">
        <v>1529</v>
      </c>
      <c r="F499" s="35" t="s">
        <v>1362</v>
      </c>
      <c r="G499" s="35" t="s">
        <v>1391</v>
      </c>
    </row>
    <row r="500" ht="20" customHeight="1" spans="1:7" x14ac:dyDescent="0.25">
      <c r="A500" s="17" t="s">
        <v>52</v>
      </c>
      <c r="B500" s="33">
        <v>30</v>
      </c>
      <c r="C500" s="17" t="s">
        <v>240</v>
      </c>
      <c r="D500" s="18">
        <v>45</v>
      </c>
      <c r="E500" s="33">
        <v>2700</v>
      </c>
      <c r="F500" s="17" t="s">
        <v>1362</v>
      </c>
      <c r="G500" s="17" t="s">
        <v>1392</v>
      </c>
    </row>
    <row r="501" ht="20" customHeight="1" spans="1:7" x14ac:dyDescent="0.25">
      <c r="A501" s="35" t="s">
        <v>52</v>
      </c>
      <c r="B501" s="36">
        <v>31</v>
      </c>
      <c r="C501" s="35" t="s">
        <v>253</v>
      </c>
      <c r="D501" s="37">
        <v>20.8</v>
      </c>
      <c r="E501" s="36">
        <v>1246</v>
      </c>
      <c r="F501" s="35" t="s">
        <v>1362</v>
      </c>
      <c r="G501" s="35" t="s">
        <v>1393</v>
      </c>
    </row>
    <row r="502" ht="20" customHeight="1" spans="1:7" x14ac:dyDescent="0.25">
      <c r="A502" s="17" t="s">
        <v>52</v>
      </c>
      <c r="B502" s="33">
        <v>32</v>
      </c>
      <c r="C502" s="17" t="s">
        <v>254</v>
      </c>
      <c r="D502" s="18">
        <v>32.6</v>
      </c>
      <c r="E502" s="33">
        <v>1954</v>
      </c>
      <c r="F502" s="17" t="s">
        <v>1362</v>
      </c>
      <c r="G502" s="17" t="s">
        <v>1394</v>
      </c>
    </row>
    <row r="503" ht="20" customHeight="1" spans="1:7" x14ac:dyDescent="0.25">
      <c r="A503" s="35" t="s">
        <v>52</v>
      </c>
      <c r="B503" s="36">
        <v>33</v>
      </c>
      <c r="C503" s="35" t="s">
        <v>264</v>
      </c>
      <c r="D503" s="37">
        <v>18.3</v>
      </c>
      <c r="E503" s="36">
        <v>1100</v>
      </c>
      <c r="F503" s="35" t="s">
        <v>1362</v>
      </c>
      <c r="G503" s="35" t="s">
        <v>1395</v>
      </c>
    </row>
    <row r="504" ht="20" customHeight="1" spans="1:7" x14ac:dyDescent="0.25">
      <c r="A504" s="17" t="s">
        <v>52</v>
      </c>
      <c r="B504" s="33">
        <v>34</v>
      </c>
      <c r="C504" s="17" t="s">
        <v>265</v>
      </c>
      <c r="D504" s="18">
        <v>29.8</v>
      </c>
      <c r="E504" s="33">
        <v>1785</v>
      </c>
      <c r="F504" s="17" t="s">
        <v>1362</v>
      </c>
      <c r="G504" s="17" t="s">
        <v>1396</v>
      </c>
    </row>
    <row r="505" ht="20" customHeight="1" spans="1:7" x14ac:dyDescent="0.25">
      <c r="A505" s="35" t="s">
        <v>52</v>
      </c>
      <c r="B505" s="36">
        <v>35</v>
      </c>
      <c r="C505" s="35" t="s">
        <v>278</v>
      </c>
      <c r="D505" s="37">
        <v>22.8</v>
      </c>
      <c r="E505" s="36">
        <v>1368</v>
      </c>
      <c r="F505" s="35" t="s">
        <v>1362</v>
      </c>
      <c r="G505" s="35" t="s">
        <v>1397</v>
      </c>
    </row>
    <row r="506" ht="20" customHeight="1" spans="1:7" x14ac:dyDescent="0.25">
      <c r="A506" s="17" t="s">
        <v>52</v>
      </c>
      <c r="B506" s="33">
        <v>36</v>
      </c>
      <c r="C506" s="17" t="s">
        <v>279</v>
      </c>
      <c r="D506" s="18">
        <v>21.4</v>
      </c>
      <c r="E506" s="33">
        <v>1286</v>
      </c>
      <c r="F506" s="17" t="s">
        <v>1362</v>
      </c>
      <c r="G506" s="17" t="s">
        <v>1398</v>
      </c>
    </row>
    <row r="507" ht="20" customHeight="1" spans="1:7" x14ac:dyDescent="0.25">
      <c r="A507" s="35" t="s">
        <v>52</v>
      </c>
      <c r="B507" s="36">
        <v>37</v>
      </c>
      <c r="C507" s="35" t="s">
        <v>289</v>
      </c>
      <c r="D507" s="37">
        <v>15.8</v>
      </c>
      <c r="E507" s="36">
        <v>947</v>
      </c>
      <c r="F507" s="35" t="s">
        <v>1362</v>
      </c>
      <c r="G507" s="35" t="s">
        <v>1399</v>
      </c>
    </row>
    <row r="508" ht="20" customHeight="1" spans="1:7" x14ac:dyDescent="0.25">
      <c r="A508" s="17" t="s">
        <v>52</v>
      </c>
      <c r="B508" s="33">
        <v>38</v>
      </c>
      <c r="C508" s="17" t="s">
        <v>290</v>
      </c>
      <c r="D508" s="18">
        <v>30.7</v>
      </c>
      <c r="E508" s="33">
        <v>1841</v>
      </c>
      <c r="F508" s="17" t="s">
        <v>1362</v>
      </c>
      <c r="G508" s="17" t="s">
        <v>1400</v>
      </c>
    </row>
    <row r="509" ht="20" customHeight="1" spans="1:7" x14ac:dyDescent="0.25">
      <c r="A509" s="35" t="s">
        <v>52</v>
      </c>
      <c r="B509" s="36">
        <v>39</v>
      </c>
      <c r="C509" s="35" t="s">
        <v>303</v>
      </c>
      <c r="D509" s="37">
        <v>21.4</v>
      </c>
      <c r="E509" s="36">
        <v>1285</v>
      </c>
      <c r="F509" s="35" t="s">
        <v>1362</v>
      </c>
      <c r="G509" s="35" t="s">
        <v>1401</v>
      </c>
    </row>
    <row r="510" ht="20" customHeight="1" spans="1:7" x14ac:dyDescent="0.25">
      <c r="A510" s="17" t="s">
        <v>52</v>
      </c>
      <c r="B510" s="33">
        <v>40</v>
      </c>
      <c r="C510" s="17" t="s">
        <v>304</v>
      </c>
      <c r="D510" s="18">
        <v>27.3</v>
      </c>
      <c r="E510" s="33">
        <v>1636</v>
      </c>
      <c r="F510" s="17" t="s">
        <v>1362</v>
      </c>
      <c r="G510" s="17" t="s">
        <v>1402</v>
      </c>
    </row>
    <row r="511" ht="20" customHeight="1" spans="1:7" x14ac:dyDescent="0.25">
      <c r="A511" s="35" t="s">
        <v>52</v>
      </c>
      <c r="B511" s="36">
        <v>41</v>
      </c>
      <c r="C511" s="35" t="s">
        <v>314</v>
      </c>
      <c r="D511" s="37">
        <v>37.6</v>
      </c>
      <c r="E511" s="36">
        <v>2257</v>
      </c>
      <c r="F511" s="35" t="s">
        <v>1362</v>
      </c>
      <c r="G511" s="35" t="s">
        <v>1403</v>
      </c>
    </row>
    <row r="512" ht="20" customHeight="1" spans="1:7" x14ac:dyDescent="0.25">
      <c r="A512" s="17" t="s">
        <v>52</v>
      </c>
      <c r="B512" s="33">
        <v>42</v>
      </c>
      <c r="C512" s="17" t="s">
        <v>315</v>
      </c>
      <c r="D512" s="18">
        <v>22.9</v>
      </c>
      <c r="E512" s="33">
        <v>1372</v>
      </c>
      <c r="F512" s="17" t="s">
        <v>1362</v>
      </c>
      <c r="G512" s="17" t="s">
        <v>1404</v>
      </c>
    </row>
    <row r="513" ht="20" customHeight="1" spans="1:7" x14ac:dyDescent="0.25">
      <c r="A513" s="35" t="s">
        <v>52</v>
      </c>
      <c r="B513" s="36">
        <v>43</v>
      </c>
      <c r="C513" s="35" t="s">
        <v>328</v>
      </c>
      <c r="D513" s="37">
        <v>34</v>
      </c>
      <c r="E513" s="36">
        <v>2039</v>
      </c>
      <c r="F513" s="35" t="s">
        <v>1362</v>
      </c>
      <c r="G513" s="35" t="s">
        <v>1405</v>
      </c>
    </row>
    <row r="514" ht="20" customHeight="1" spans="1:7" x14ac:dyDescent="0.25">
      <c r="A514" s="17" t="s">
        <v>52</v>
      </c>
      <c r="B514" s="33">
        <v>44</v>
      </c>
      <c r="C514" s="17" t="s">
        <v>329</v>
      </c>
      <c r="D514" s="18">
        <v>13.8</v>
      </c>
      <c r="E514" s="33">
        <v>826</v>
      </c>
      <c r="F514" s="17" t="s">
        <v>1362</v>
      </c>
      <c r="G514" s="17" t="s">
        <v>1406</v>
      </c>
    </row>
    <row r="515" ht="20" customHeight="1" spans="1:7" x14ac:dyDescent="0.25">
      <c r="A515" s="35" t="s">
        <v>52</v>
      </c>
      <c r="B515" s="36">
        <v>45</v>
      </c>
      <c r="C515" s="35" t="s">
        <v>339</v>
      </c>
      <c r="D515" s="37">
        <v>25.5</v>
      </c>
      <c r="E515" s="36">
        <v>1530</v>
      </c>
      <c r="F515" s="35" t="s">
        <v>1362</v>
      </c>
      <c r="G515" s="35" t="s">
        <v>1407</v>
      </c>
    </row>
    <row r="516" ht="20" customHeight="1" spans="1:7" x14ac:dyDescent="0.25">
      <c r="A516" s="17" t="s">
        <v>52</v>
      </c>
      <c r="B516" s="33">
        <v>46</v>
      </c>
      <c r="C516" s="17" t="s">
        <v>340</v>
      </c>
      <c r="D516" s="18">
        <v>29.6</v>
      </c>
      <c r="E516" s="33">
        <v>1779</v>
      </c>
      <c r="F516" s="17" t="s">
        <v>1362</v>
      </c>
      <c r="G516" s="17" t="s">
        <v>1408</v>
      </c>
    </row>
    <row r="517" ht="20" customHeight="1" spans="1:7" x14ac:dyDescent="0.25">
      <c r="A517" s="35" t="s">
        <v>52</v>
      </c>
      <c r="B517" s="36">
        <v>47</v>
      </c>
      <c r="C517" s="35" t="s">
        <v>353</v>
      </c>
      <c r="D517" s="37">
        <v>14.2</v>
      </c>
      <c r="E517" s="36">
        <v>851</v>
      </c>
      <c r="F517" s="35" t="s">
        <v>1362</v>
      </c>
      <c r="G517" s="35" t="s">
        <v>1409</v>
      </c>
    </row>
    <row r="518" ht="20" customHeight="1" spans="1:7" x14ac:dyDescent="0.25">
      <c r="A518" s="17" t="s">
        <v>52</v>
      </c>
      <c r="B518" s="33">
        <v>48</v>
      </c>
      <c r="C518" s="17" t="s">
        <v>354</v>
      </c>
      <c r="D518" s="18">
        <v>26.6</v>
      </c>
      <c r="E518" s="33">
        <v>1593</v>
      </c>
      <c r="F518" s="17" t="s">
        <v>1362</v>
      </c>
      <c r="G518" s="17" t="s">
        <v>1410</v>
      </c>
    </row>
    <row r="519" ht="20" customHeight="1" spans="1:7" x14ac:dyDescent="0.25">
      <c r="A519" s="35" t="s">
        <v>52</v>
      </c>
      <c r="B519" s="36">
        <v>49</v>
      </c>
      <c r="C519" s="35" t="s">
        <v>364</v>
      </c>
      <c r="D519" s="37">
        <v>17.3</v>
      </c>
      <c r="E519" s="36">
        <v>1037</v>
      </c>
      <c r="F519" s="35" t="s">
        <v>1362</v>
      </c>
      <c r="G519" s="35" t="s">
        <v>1411</v>
      </c>
    </row>
    <row r="520" ht="20" customHeight="1" spans="1:7" x14ac:dyDescent="0.25">
      <c r="A520" s="17" t="s">
        <v>52</v>
      </c>
      <c r="B520" s="33">
        <v>50</v>
      </c>
      <c r="C520" s="17" t="s">
        <v>365</v>
      </c>
      <c r="D520" s="18">
        <v>36.4</v>
      </c>
      <c r="E520" s="33">
        <v>2185</v>
      </c>
      <c r="F520" s="17" t="s">
        <v>1362</v>
      </c>
      <c r="G520" s="17" t="s">
        <v>1412</v>
      </c>
    </row>
    <row r="521" ht="20" customHeight="1" spans="1:7" x14ac:dyDescent="0.25">
      <c r="A521" s="35" t="s">
        <v>52</v>
      </c>
      <c r="B521" s="36">
        <v>51</v>
      </c>
      <c r="C521" s="35" t="s">
        <v>378</v>
      </c>
      <c r="D521" s="37">
        <v>17.5</v>
      </c>
      <c r="E521" s="36">
        <v>1048</v>
      </c>
      <c r="F521" s="35" t="s">
        <v>1362</v>
      </c>
      <c r="G521" s="35" t="s">
        <v>1413</v>
      </c>
    </row>
    <row r="522" ht="20" customHeight="1" spans="1:7" x14ac:dyDescent="0.25">
      <c r="A522" s="17" t="s">
        <v>52</v>
      </c>
      <c r="B522" s="33">
        <v>52</v>
      </c>
      <c r="C522" s="17" t="s">
        <v>379</v>
      </c>
      <c r="D522" s="18">
        <v>21.5</v>
      </c>
      <c r="E522" s="33">
        <v>1291</v>
      </c>
      <c r="F522" s="17" t="s">
        <v>1362</v>
      </c>
      <c r="G522" s="17" t="s">
        <v>1414</v>
      </c>
    </row>
    <row r="523" ht="20" customHeight="1" spans="1:7" x14ac:dyDescent="0.25">
      <c r="A523" s="35" t="s">
        <v>52</v>
      </c>
      <c r="B523" s="36">
        <v>53</v>
      </c>
      <c r="C523" s="35" t="s">
        <v>389</v>
      </c>
      <c r="D523" s="37">
        <v>17.2</v>
      </c>
      <c r="E523" s="36">
        <v>1030</v>
      </c>
      <c r="F523" s="35" t="s">
        <v>1362</v>
      </c>
      <c r="G523" s="35" t="s">
        <v>1415</v>
      </c>
    </row>
    <row r="524" ht="20" customHeight="1" spans="1:7" x14ac:dyDescent="0.25">
      <c r="A524" s="17" t="s">
        <v>52</v>
      </c>
      <c r="B524" s="33">
        <v>54</v>
      </c>
      <c r="C524" s="17" t="s">
        <v>390</v>
      </c>
      <c r="D524" s="18">
        <v>34.7</v>
      </c>
      <c r="E524" s="33">
        <v>2083</v>
      </c>
      <c r="F524" s="17" t="s">
        <v>1362</v>
      </c>
      <c r="G524" s="17" t="s">
        <v>1416</v>
      </c>
    </row>
    <row r="525" ht="20" customHeight="1" spans="1:7" x14ac:dyDescent="0.25">
      <c r="A525" s="35" t="s">
        <v>52</v>
      </c>
      <c r="B525" s="36">
        <v>55</v>
      </c>
      <c r="C525" s="35" t="s">
        <v>403</v>
      </c>
      <c r="D525" s="37">
        <v>42.8</v>
      </c>
      <c r="E525" s="36">
        <v>2567</v>
      </c>
      <c r="F525" s="35" t="s">
        <v>1362</v>
      </c>
      <c r="G525" s="35" t="s">
        <v>1417</v>
      </c>
    </row>
    <row r="526" ht="20" customHeight="1" spans="1:7" x14ac:dyDescent="0.25">
      <c r="A526" s="17" t="s">
        <v>52</v>
      </c>
      <c r="B526" s="33">
        <v>56</v>
      </c>
      <c r="C526" s="17" t="s">
        <v>404</v>
      </c>
      <c r="D526" s="18">
        <v>23</v>
      </c>
      <c r="E526" s="33">
        <v>1378</v>
      </c>
      <c r="F526" s="17" t="s">
        <v>1362</v>
      </c>
      <c r="G526" s="17" t="s">
        <v>1418</v>
      </c>
    </row>
    <row r="527" ht="20" customHeight="1" spans="1:7" x14ac:dyDescent="0.25">
      <c r="A527" s="35" t="s">
        <v>52</v>
      </c>
      <c r="B527" s="36">
        <v>57</v>
      </c>
      <c r="C527" s="35" t="s">
        <v>414</v>
      </c>
      <c r="D527" s="37">
        <v>17.9</v>
      </c>
      <c r="E527" s="36">
        <v>1071</v>
      </c>
      <c r="F527" s="35" t="s">
        <v>1362</v>
      </c>
      <c r="G527" s="35" t="s">
        <v>1419</v>
      </c>
    </row>
    <row r="528" ht="20" customHeight="1" spans="1:7" x14ac:dyDescent="0.25">
      <c r="A528" s="17" t="s">
        <v>52</v>
      </c>
      <c r="B528" s="33">
        <v>58</v>
      </c>
      <c r="C528" s="17" t="s">
        <v>415</v>
      </c>
      <c r="D528" s="18">
        <v>45</v>
      </c>
      <c r="E528" s="33">
        <v>2700</v>
      </c>
      <c r="F528" s="17" t="s">
        <v>1362</v>
      </c>
      <c r="G528" s="17" t="s">
        <v>1420</v>
      </c>
    </row>
    <row r="529" ht="20" customHeight="1" spans="1:7" x14ac:dyDescent="0.25">
      <c r="A529" s="35" t="s">
        <v>52</v>
      </c>
      <c r="B529" s="36">
        <v>59</v>
      </c>
      <c r="C529" s="35" t="s">
        <v>428</v>
      </c>
      <c r="D529" s="37">
        <v>45</v>
      </c>
      <c r="E529" s="36">
        <v>2701</v>
      </c>
      <c r="F529" s="35" t="s">
        <v>1362</v>
      </c>
      <c r="G529" s="35" t="s">
        <v>1421</v>
      </c>
    </row>
    <row r="530" ht="20" customHeight="1" spans="1:7" x14ac:dyDescent="0.25">
      <c r="A530" s="17" t="s">
        <v>52</v>
      </c>
      <c r="B530" s="33">
        <v>60</v>
      </c>
      <c r="C530" s="17" t="s">
        <v>429</v>
      </c>
      <c r="D530" s="18">
        <v>27.2</v>
      </c>
      <c r="E530" s="33">
        <v>1631</v>
      </c>
      <c r="F530" s="17" t="s">
        <v>1362</v>
      </c>
      <c r="G530" s="17" t="s">
        <v>1422</v>
      </c>
    </row>
    <row r="531" ht="20" customHeight="1" spans="1:7" x14ac:dyDescent="0.25">
      <c r="A531" s="35" t="s">
        <v>52</v>
      </c>
      <c r="B531" s="36">
        <v>61</v>
      </c>
      <c r="C531" s="35" t="s">
        <v>439</v>
      </c>
      <c r="D531" s="37">
        <v>46.1</v>
      </c>
      <c r="E531" s="36">
        <v>2768</v>
      </c>
      <c r="F531" s="35" t="s">
        <v>1362</v>
      </c>
      <c r="G531" s="35" t="s">
        <v>1423</v>
      </c>
    </row>
    <row r="532" ht="20" customHeight="1" spans="1:7" x14ac:dyDescent="0.25">
      <c r="A532" s="17" t="s">
        <v>52</v>
      </c>
      <c r="B532" s="33">
        <v>62</v>
      </c>
      <c r="C532" s="17" t="s">
        <v>440</v>
      </c>
      <c r="D532" s="18">
        <v>37.5</v>
      </c>
      <c r="E532" s="33">
        <v>2249</v>
      </c>
      <c r="F532" s="17" t="s">
        <v>1362</v>
      </c>
      <c r="G532" s="17" t="s">
        <v>1424</v>
      </c>
    </row>
    <row r="533" ht="20" customHeight="1" spans="1:7" x14ac:dyDescent="0.25">
      <c r="A533" s="35" t="s">
        <v>52</v>
      </c>
      <c r="B533" s="36">
        <v>63</v>
      </c>
      <c r="C533" s="35" t="s">
        <v>454</v>
      </c>
      <c r="D533" s="37">
        <v>66.7</v>
      </c>
      <c r="E533" s="36">
        <v>4001</v>
      </c>
      <c r="F533" s="35" t="s">
        <v>1362</v>
      </c>
      <c r="G533" s="35" t="s">
        <v>1425</v>
      </c>
    </row>
    <row r="534" ht="20" customHeight="1" spans="1:7" x14ac:dyDescent="0.25">
      <c r="A534" s="17" t="s">
        <v>52</v>
      </c>
      <c r="B534" s="33">
        <v>64</v>
      </c>
      <c r="C534" s="17" t="s">
        <v>455</v>
      </c>
      <c r="D534" s="18">
        <v>12.6</v>
      </c>
      <c r="E534" s="33">
        <v>753</v>
      </c>
      <c r="F534" s="17" t="s">
        <v>1362</v>
      </c>
      <c r="G534" s="17" t="s">
        <v>1426</v>
      </c>
    </row>
    <row r="535" ht="20" customHeight="1" spans="1:7" x14ac:dyDescent="0.25">
      <c r="A535" s="35" t="s">
        <v>52</v>
      </c>
      <c r="B535" s="36">
        <v>65</v>
      </c>
      <c r="C535" s="35" t="s">
        <v>465</v>
      </c>
      <c r="D535" s="37">
        <v>21.4</v>
      </c>
      <c r="E535" s="36">
        <v>1287</v>
      </c>
      <c r="F535" s="35" t="s">
        <v>1362</v>
      </c>
      <c r="G535" s="35" t="s">
        <v>1427</v>
      </c>
    </row>
    <row r="536" ht="20" customHeight="1" spans="1:7" x14ac:dyDescent="0.25">
      <c r="A536" s="17" t="s">
        <v>52</v>
      </c>
      <c r="B536" s="33">
        <v>66</v>
      </c>
      <c r="C536" s="17" t="s">
        <v>466</v>
      </c>
      <c r="D536" s="18">
        <v>22.4</v>
      </c>
      <c r="E536" s="33">
        <v>1341</v>
      </c>
      <c r="F536" s="17" t="s">
        <v>1362</v>
      </c>
      <c r="G536" s="17" t="s">
        <v>1428</v>
      </c>
    </row>
    <row r="537" ht="20" customHeight="1" spans="1:7" x14ac:dyDescent="0.25">
      <c r="A537" s="35" t="s">
        <v>52</v>
      </c>
      <c r="B537" s="36">
        <v>67</v>
      </c>
      <c r="C537" s="35" t="s">
        <v>478</v>
      </c>
      <c r="D537" s="37">
        <v>50.2</v>
      </c>
      <c r="E537" s="36">
        <v>3014</v>
      </c>
      <c r="F537" s="35" t="s">
        <v>1362</v>
      </c>
      <c r="G537" s="35" t="s">
        <v>1429</v>
      </c>
    </row>
    <row r="538" ht="20" customHeight="1" spans="1:7" x14ac:dyDescent="0.25">
      <c r="A538" s="17" t="s">
        <v>52</v>
      </c>
      <c r="B538" s="33">
        <v>68</v>
      </c>
      <c r="C538" s="17" t="s">
        <v>479</v>
      </c>
      <c r="D538" s="18">
        <v>26.7</v>
      </c>
      <c r="E538" s="33">
        <v>1600</v>
      </c>
      <c r="F538" s="17" t="s">
        <v>1362</v>
      </c>
      <c r="G538" s="17" t="s">
        <v>1430</v>
      </c>
    </row>
    <row r="539" ht="20" customHeight="1" spans="1:7" x14ac:dyDescent="0.25">
      <c r="A539" s="35" t="s">
        <v>52</v>
      </c>
      <c r="B539" s="36">
        <v>69</v>
      </c>
      <c r="C539" s="35" t="s">
        <v>489</v>
      </c>
      <c r="D539" s="37">
        <v>31.2</v>
      </c>
      <c r="E539" s="36">
        <v>1872</v>
      </c>
      <c r="F539" s="35" t="s">
        <v>1362</v>
      </c>
      <c r="G539" s="35" t="s">
        <v>1431</v>
      </c>
    </row>
    <row r="540" ht="20" customHeight="1" spans="1:7" x14ac:dyDescent="0.25">
      <c r="A540" s="17" t="s">
        <v>52</v>
      </c>
      <c r="B540" s="33">
        <v>70</v>
      </c>
      <c r="C540" s="17" t="s">
        <v>490</v>
      </c>
      <c r="D540" s="18">
        <v>28.4</v>
      </c>
      <c r="E540" s="33">
        <v>1704</v>
      </c>
      <c r="F540" s="17" t="s">
        <v>1362</v>
      </c>
      <c r="G540" s="17" t="s">
        <v>1432</v>
      </c>
    </row>
    <row r="541" ht="20" customHeight="1" spans="1:7" x14ac:dyDescent="0.25">
      <c r="A541" s="35" t="s">
        <v>52</v>
      </c>
      <c r="B541" s="36">
        <v>71</v>
      </c>
      <c r="C541" s="35" t="s">
        <v>501</v>
      </c>
      <c r="D541" s="37">
        <v>34</v>
      </c>
      <c r="E541" s="36">
        <v>2039</v>
      </c>
      <c r="F541" s="35" t="s">
        <v>1362</v>
      </c>
      <c r="G541" s="35" t="s">
        <v>1433</v>
      </c>
    </row>
    <row r="542" ht="20" customHeight="1" spans="1:7" x14ac:dyDescent="0.25">
      <c r="A542" s="17" t="s">
        <v>52</v>
      </c>
      <c r="B542" s="33">
        <v>72</v>
      </c>
      <c r="C542" s="17" t="s">
        <v>502</v>
      </c>
      <c r="D542" s="18">
        <v>27.7</v>
      </c>
      <c r="E542" s="33">
        <v>1663</v>
      </c>
      <c r="F542" s="17" t="s">
        <v>1362</v>
      </c>
      <c r="G542" s="17" t="s">
        <v>1434</v>
      </c>
    </row>
    <row r="543" ht="20" customHeight="1" spans="1:7" x14ac:dyDescent="0.25">
      <c r="A543" s="35" t="s">
        <v>52</v>
      </c>
      <c r="B543" s="36">
        <v>73</v>
      </c>
      <c r="C543" s="35" t="s">
        <v>512</v>
      </c>
      <c r="D543" s="37">
        <v>15.6</v>
      </c>
      <c r="E543" s="36">
        <v>938</v>
      </c>
      <c r="F543" s="35" t="s">
        <v>1362</v>
      </c>
      <c r="G543" s="35" t="s">
        <v>1435</v>
      </c>
    </row>
    <row r="544" ht="20" customHeight="1" spans="1:7" x14ac:dyDescent="0.25">
      <c r="A544" s="17" t="s">
        <v>52</v>
      </c>
      <c r="B544" s="33">
        <v>74</v>
      </c>
      <c r="C544" s="17" t="s">
        <v>513</v>
      </c>
      <c r="D544" s="18">
        <v>16.2</v>
      </c>
      <c r="E544" s="33">
        <v>975</v>
      </c>
      <c r="F544" s="17" t="s">
        <v>1362</v>
      </c>
      <c r="G544" s="17" t="s">
        <v>1436</v>
      </c>
    </row>
    <row r="545" ht="20" customHeight="1" spans="1:7" x14ac:dyDescent="0.25">
      <c r="A545" s="35" t="s">
        <v>52</v>
      </c>
      <c r="B545" s="36">
        <v>75</v>
      </c>
      <c r="C545" s="35" t="s">
        <v>524</v>
      </c>
      <c r="D545" s="37">
        <v>28.9</v>
      </c>
      <c r="E545" s="36">
        <v>1737</v>
      </c>
      <c r="F545" s="35" t="s">
        <v>1362</v>
      </c>
      <c r="G545" s="35" t="s">
        <v>1437</v>
      </c>
    </row>
    <row r="546" ht="20" customHeight="1" spans="1:7" x14ac:dyDescent="0.25">
      <c r="A546" s="17" t="s">
        <v>52</v>
      </c>
      <c r="B546" s="33">
        <v>76</v>
      </c>
      <c r="C546" s="17" t="s">
        <v>525</v>
      </c>
      <c r="D546" s="18">
        <v>86.2</v>
      </c>
      <c r="E546" s="33">
        <v>5172</v>
      </c>
      <c r="F546" s="17" t="s">
        <v>1362</v>
      </c>
      <c r="G546" s="17" t="s">
        <v>1438</v>
      </c>
    </row>
    <row r="547" ht="20" customHeight="1" spans="1:7" x14ac:dyDescent="0.25">
      <c r="A547" s="35" t="s">
        <v>52</v>
      </c>
      <c r="B547" s="36">
        <v>77</v>
      </c>
      <c r="C547" s="35" t="s">
        <v>535</v>
      </c>
      <c r="D547" s="37">
        <v>29.2</v>
      </c>
      <c r="E547" s="36">
        <v>1750</v>
      </c>
      <c r="F547" s="35" t="s">
        <v>1362</v>
      </c>
      <c r="G547" s="35" t="s">
        <v>1439</v>
      </c>
    </row>
    <row r="548" ht="20" customHeight="1" spans="1:7" x14ac:dyDescent="0.25">
      <c r="A548" s="17" t="s">
        <v>52</v>
      </c>
      <c r="B548" s="33">
        <v>78</v>
      </c>
      <c r="C548" s="17" t="s">
        <v>536</v>
      </c>
      <c r="D548" s="18">
        <v>14.7</v>
      </c>
      <c r="E548" s="33">
        <v>884</v>
      </c>
      <c r="F548" s="17" t="s">
        <v>1362</v>
      </c>
      <c r="G548" s="17" t="s">
        <v>1440</v>
      </c>
    </row>
    <row r="549" ht="20" customHeight="1" spans="1:7" x14ac:dyDescent="0.25">
      <c r="A549" s="35" t="s">
        <v>52</v>
      </c>
      <c r="B549" s="36">
        <v>79</v>
      </c>
      <c r="C549" s="35" t="s">
        <v>547</v>
      </c>
      <c r="D549" s="37">
        <v>153</v>
      </c>
      <c r="E549" s="36">
        <v>9182</v>
      </c>
      <c r="F549" s="35" t="s">
        <v>1362</v>
      </c>
      <c r="G549" s="35" t="s">
        <v>1441</v>
      </c>
    </row>
    <row r="550" ht="20" customHeight="1" spans="1:7" x14ac:dyDescent="0.25">
      <c r="A550" s="17" t="s">
        <v>52</v>
      </c>
      <c r="B550" s="33">
        <v>80</v>
      </c>
      <c r="C550" s="17" t="s">
        <v>548</v>
      </c>
      <c r="D550" s="18">
        <v>134.3</v>
      </c>
      <c r="E550" s="33">
        <v>8058</v>
      </c>
      <c r="F550" s="17" t="s">
        <v>1362</v>
      </c>
      <c r="G550" s="17" t="s">
        <v>1442</v>
      </c>
    </row>
    <row r="551" ht="20" customHeight="1" spans="1:7" x14ac:dyDescent="0.25">
      <c r="A551" s="35" t="s">
        <v>68</v>
      </c>
      <c r="B551" s="36">
        <v>1</v>
      </c>
      <c r="C551" s="35" t="s">
        <v>69</v>
      </c>
      <c r="D551" s="37">
        <v>7.5</v>
      </c>
      <c r="E551" s="36">
        <v>450</v>
      </c>
      <c r="F551" s="35" t="s">
        <v>1443</v>
      </c>
      <c r="G551" s="35" t="s">
        <v>1444</v>
      </c>
    </row>
    <row r="552" ht="20" customHeight="1" spans="1:7" x14ac:dyDescent="0.25">
      <c r="A552" s="17" t="s">
        <v>68</v>
      </c>
      <c r="B552" s="33">
        <v>2</v>
      </c>
      <c r="C552" s="17" t="s">
        <v>71</v>
      </c>
      <c r="D552" s="18">
        <v>17</v>
      </c>
      <c r="E552" s="33">
        <v>1019</v>
      </c>
      <c r="F552" s="17" t="s">
        <v>1443</v>
      </c>
      <c r="G552" s="17" t="s">
        <v>1445</v>
      </c>
    </row>
    <row r="553" ht="20" customHeight="1" spans="1:7" x14ac:dyDescent="0.25">
      <c r="A553" s="35" t="s">
        <v>68</v>
      </c>
      <c r="B553" s="36">
        <v>3</v>
      </c>
      <c r="C553" s="35" t="s">
        <v>97</v>
      </c>
      <c r="D553" s="37">
        <v>87.5</v>
      </c>
      <c r="E553" s="36">
        <v>5250</v>
      </c>
      <c r="F553" s="35" t="s">
        <v>1443</v>
      </c>
      <c r="G553" s="35" t="s">
        <v>1446</v>
      </c>
    </row>
    <row r="554" ht="20" customHeight="1" spans="1:7" x14ac:dyDescent="0.25">
      <c r="A554" s="17" t="s">
        <v>68</v>
      </c>
      <c r="B554" s="33">
        <v>4</v>
      </c>
      <c r="C554" s="17" t="s">
        <v>98</v>
      </c>
      <c r="D554" s="18">
        <v>45</v>
      </c>
      <c r="E554" s="33">
        <v>2699</v>
      </c>
      <c r="F554" s="17" t="s">
        <v>1443</v>
      </c>
      <c r="G554" s="17" t="s">
        <v>1447</v>
      </c>
    </row>
    <row r="555" ht="20" customHeight="1" spans="1:7" x14ac:dyDescent="0.25">
      <c r="A555" s="35" t="s">
        <v>68</v>
      </c>
      <c r="B555" s="36">
        <v>5</v>
      </c>
      <c r="C555" s="35" t="s">
        <v>122</v>
      </c>
      <c r="D555" s="37">
        <v>36.4</v>
      </c>
      <c r="E555" s="36">
        <v>2183</v>
      </c>
      <c r="F555" s="35" t="s">
        <v>1443</v>
      </c>
      <c r="G555" s="35" t="s">
        <v>1448</v>
      </c>
    </row>
    <row r="556" ht="20" customHeight="1" spans="1:7" x14ac:dyDescent="0.25">
      <c r="A556" s="17" t="s">
        <v>68</v>
      </c>
      <c r="B556" s="33">
        <v>6</v>
      </c>
      <c r="C556" s="17" t="s">
        <v>123</v>
      </c>
      <c r="D556" s="18">
        <v>35.9</v>
      </c>
      <c r="E556" s="33">
        <v>2153</v>
      </c>
      <c r="F556" s="17" t="s">
        <v>1443</v>
      </c>
      <c r="G556" s="17" t="s">
        <v>1449</v>
      </c>
    </row>
    <row r="557" ht="20" customHeight="1" spans="1:7" x14ac:dyDescent="0.25">
      <c r="A557" s="35" t="s">
        <v>68</v>
      </c>
      <c r="B557" s="36">
        <v>7</v>
      </c>
      <c r="C557" s="35" t="s">
        <v>147</v>
      </c>
      <c r="D557" s="37">
        <v>50.8</v>
      </c>
      <c r="E557" s="36">
        <v>3048</v>
      </c>
      <c r="F557" s="35" t="s">
        <v>1443</v>
      </c>
      <c r="G557" s="35" t="s">
        <v>1450</v>
      </c>
    </row>
    <row r="558" ht="20" customHeight="1" spans="1:7" x14ac:dyDescent="0.25">
      <c r="A558" s="17" t="s">
        <v>68</v>
      </c>
      <c r="B558" s="33">
        <v>8</v>
      </c>
      <c r="C558" s="17" t="s">
        <v>148</v>
      </c>
      <c r="D558" s="18">
        <v>66.1</v>
      </c>
      <c r="E558" s="33">
        <v>3967</v>
      </c>
      <c r="F558" s="17" t="s">
        <v>1443</v>
      </c>
      <c r="G558" s="17" t="s">
        <v>1451</v>
      </c>
    </row>
    <row r="559" ht="20" customHeight="1" spans="1:7" x14ac:dyDescent="0.25">
      <c r="A559" s="35" t="s">
        <v>68</v>
      </c>
      <c r="B559" s="36">
        <v>9</v>
      </c>
      <c r="C559" s="35" t="s">
        <v>172</v>
      </c>
      <c r="D559" s="37">
        <v>38.8</v>
      </c>
      <c r="E559" s="36">
        <v>2327</v>
      </c>
      <c r="F559" s="35" t="s">
        <v>1443</v>
      </c>
      <c r="G559" s="35" t="s">
        <v>1452</v>
      </c>
    </row>
    <row r="560" ht="20" customHeight="1" spans="1:7" x14ac:dyDescent="0.25">
      <c r="A560" s="17" t="s">
        <v>68</v>
      </c>
      <c r="B560" s="33">
        <v>10</v>
      </c>
      <c r="C560" s="17" t="s">
        <v>173</v>
      </c>
      <c r="D560" s="18">
        <v>32.4</v>
      </c>
      <c r="E560" s="33">
        <v>1946</v>
      </c>
      <c r="F560" s="17" t="s">
        <v>1443</v>
      </c>
      <c r="G560" s="17" t="s">
        <v>1453</v>
      </c>
    </row>
    <row r="561" ht="20" customHeight="1" spans="1:7" x14ac:dyDescent="0.25">
      <c r="A561" s="35" t="s">
        <v>68</v>
      </c>
      <c r="B561" s="36">
        <v>11</v>
      </c>
      <c r="C561" s="35" t="s">
        <v>197</v>
      </c>
      <c r="D561" s="37">
        <v>30.2</v>
      </c>
      <c r="E561" s="36">
        <v>1810</v>
      </c>
      <c r="F561" s="35" t="s">
        <v>1443</v>
      </c>
      <c r="G561" s="35" t="s">
        <v>1454</v>
      </c>
    </row>
    <row r="562" ht="20" customHeight="1" spans="1:7" x14ac:dyDescent="0.25">
      <c r="A562" s="17" t="s">
        <v>68</v>
      </c>
      <c r="B562" s="33">
        <v>12</v>
      </c>
      <c r="C562" s="17" t="s">
        <v>198</v>
      </c>
      <c r="D562" s="18">
        <v>39.9</v>
      </c>
      <c r="E562" s="33">
        <v>2394</v>
      </c>
      <c r="F562" s="17" t="s">
        <v>1443</v>
      </c>
      <c r="G562" s="17" t="s">
        <v>1455</v>
      </c>
    </row>
    <row r="563" ht="20" customHeight="1" spans="1:7" x14ac:dyDescent="0.25">
      <c r="A563" s="35" t="s">
        <v>68</v>
      </c>
      <c r="B563" s="36">
        <v>13</v>
      </c>
      <c r="C563" s="35" t="s">
        <v>222</v>
      </c>
      <c r="D563" s="37">
        <v>60.7</v>
      </c>
      <c r="E563" s="36">
        <v>3640</v>
      </c>
      <c r="F563" s="35" t="s">
        <v>1443</v>
      </c>
      <c r="G563" s="35" t="s">
        <v>1456</v>
      </c>
    </row>
    <row r="564" ht="20" customHeight="1" spans="1:7" x14ac:dyDescent="0.25">
      <c r="A564" s="17" t="s">
        <v>68</v>
      </c>
      <c r="B564" s="33">
        <v>14</v>
      </c>
      <c r="C564" s="17" t="s">
        <v>223</v>
      </c>
      <c r="D564" s="18">
        <v>57.8</v>
      </c>
      <c r="E564" s="33">
        <v>3467</v>
      </c>
      <c r="F564" s="17" t="s">
        <v>1443</v>
      </c>
      <c r="G564" s="17" t="s">
        <v>1457</v>
      </c>
    </row>
    <row r="565" ht="20" customHeight="1" spans="1:7" x14ac:dyDescent="0.25">
      <c r="A565" s="35" t="s">
        <v>68</v>
      </c>
      <c r="B565" s="36">
        <v>15</v>
      </c>
      <c r="C565" s="35" t="s">
        <v>247</v>
      </c>
      <c r="D565" s="37">
        <v>34.1</v>
      </c>
      <c r="E565" s="36">
        <v>2044</v>
      </c>
      <c r="F565" s="35" t="s">
        <v>1443</v>
      </c>
      <c r="G565" s="35" t="s">
        <v>1458</v>
      </c>
    </row>
    <row r="566" ht="20" customHeight="1" spans="1:7" x14ac:dyDescent="0.25">
      <c r="A566" s="17" t="s">
        <v>68</v>
      </c>
      <c r="B566" s="33">
        <v>16</v>
      </c>
      <c r="C566" s="17" t="s">
        <v>248</v>
      </c>
      <c r="D566" s="18">
        <v>58.2</v>
      </c>
      <c r="E566" s="33">
        <v>3494</v>
      </c>
      <c r="F566" s="17" t="s">
        <v>1443</v>
      </c>
      <c r="G566" s="17" t="s">
        <v>1459</v>
      </c>
    </row>
    <row r="567" ht="20" customHeight="1" spans="1:7" x14ac:dyDescent="0.25">
      <c r="A567" s="35" t="s">
        <v>68</v>
      </c>
      <c r="B567" s="36">
        <v>17</v>
      </c>
      <c r="C567" s="35" t="s">
        <v>272</v>
      </c>
      <c r="D567" s="37">
        <v>55.7</v>
      </c>
      <c r="E567" s="36">
        <v>3340</v>
      </c>
      <c r="F567" s="35" t="s">
        <v>1443</v>
      </c>
      <c r="G567" s="35" t="s">
        <v>1460</v>
      </c>
    </row>
    <row r="568" ht="20" customHeight="1" spans="1:7" x14ac:dyDescent="0.25">
      <c r="A568" s="17" t="s">
        <v>68</v>
      </c>
      <c r="B568" s="33">
        <v>18</v>
      </c>
      <c r="C568" s="17" t="s">
        <v>273</v>
      </c>
      <c r="D568" s="18">
        <v>52</v>
      </c>
      <c r="E568" s="33">
        <v>3121</v>
      </c>
      <c r="F568" s="17" t="s">
        <v>1443</v>
      </c>
      <c r="G568" s="17" t="s">
        <v>1461</v>
      </c>
    </row>
    <row r="569" ht="20" customHeight="1" spans="1:7" x14ac:dyDescent="0.25">
      <c r="A569" s="35" t="s">
        <v>68</v>
      </c>
      <c r="B569" s="36">
        <v>19</v>
      </c>
      <c r="C569" s="35" t="s">
        <v>297</v>
      </c>
      <c r="D569" s="37">
        <v>21.9</v>
      </c>
      <c r="E569" s="36">
        <v>1313</v>
      </c>
      <c r="F569" s="35" t="s">
        <v>1443</v>
      </c>
      <c r="G569" s="35" t="s">
        <v>1462</v>
      </c>
    </row>
    <row r="570" ht="20" customHeight="1" spans="1:7" x14ac:dyDescent="0.25">
      <c r="A570" s="17" t="s">
        <v>68</v>
      </c>
      <c r="B570" s="33">
        <v>20</v>
      </c>
      <c r="C570" s="17" t="s">
        <v>298</v>
      </c>
      <c r="D570" s="18">
        <v>46</v>
      </c>
      <c r="E570" s="33">
        <v>2759</v>
      </c>
      <c r="F570" s="17" t="s">
        <v>1443</v>
      </c>
      <c r="G570" s="17" t="s">
        <v>1463</v>
      </c>
    </row>
    <row r="571" ht="20" customHeight="1" spans="1:7" x14ac:dyDescent="0.25">
      <c r="A571" s="35" t="s">
        <v>68</v>
      </c>
      <c r="B571" s="36">
        <v>21</v>
      </c>
      <c r="C571" s="35" t="s">
        <v>322</v>
      </c>
      <c r="D571" s="37">
        <v>34.8</v>
      </c>
      <c r="E571" s="36">
        <v>2085</v>
      </c>
      <c r="F571" s="35" t="s">
        <v>1443</v>
      </c>
      <c r="G571" s="35" t="s">
        <v>1464</v>
      </c>
    </row>
    <row r="572" ht="20" customHeight="1" spans="1:7" x14ac:dyDescent="0.25">
      <c r="A572" s="17" t="s">
        <v>68</v>
      </c>
      <c r="B572" s="33">
        <v>22</v>
      </c>
      <c r="C572" s="17" t="s">
        <v>323</v>
      </c>
      <c r="D572" s="18">
        <v>32.8</v>
      </c>
      <c r="E572" s="33">
        <v>1968</v>
      </c>
      <c r="F572" s="17" t="s">
        <v>1443</v>
      </c>
      <c r="G572" s="17" t="s">
        <v>1465</v>
      </c>
    </row>
    <row r="573" ht="20" customHeight="1" spans="1:7" x14ac:dyDescent="0.25">
      <c r="A573" s="35" t="s">
        <v>68</v>
      </c>
      <c r="B573" s="36">
        <v>23</v>
      </c>
      <c r="C573" s="35" t="s">
        <v>347</v>
      </c>
      <c r="D573" s="37">
        <v>38.8</v>
      </c>
      <c r="E573" s="36">
        <v>2330</v>
      </c>
      <c r="F573" s="35" t="s">
        <v>1443</v>
      </c>
      <c r="G573" s="35" t="s">
        <v>1466</v>
      </c>
    </row>
    <row r="574" ht="20" customHeight="1" spans="1:7" x14ac:dyDescent="0.25">
      <c r="A574" s="17" t="s">
        <v>68</v>
      </c>
      <c r="B574" s="33">
        <v>24</v>
      </c>
      <c r="C574" s="17" t="s">
        <v>348</v>
      </c>
      <c r="D574" s="18">
        <v>48.9</v>
      </c>
      <c r="E574" s="33">
        <v>2935</v>
      </c>
      <c r="F574" s="17" t="s">
        <v>1443</v>
      </c>
      <c r="G574" s="17" t="s">
        <v>1467</v>
      </c>
    </row>
    <row r="575" ht="20" customHeight="1" spans="1:7" x14ac:dyDescent="0.25">
      <c r="A575" s="35" t="s">
        <v>68</v>
      </c>
      <c r="B575" s="36">
        <v>25</v>
      </c>
      <c r="C575" s="35" t="s">
        <v>372</v>
      </c>
      <c r="D575" s="37">
        <v>34.1</v>
      </c>
      <c r="E575" s="36">
        <v>2048</v>
      </c>
      <c r="F575" s="35" t="s">
        <v>1443</v>
      </c>
      <c r="G575" s="35" t="s">
        <v>1468</v>
      </c>
    </row>
    <row r="576" ht="20" customHeight="1" spans="1:7" x14ac:dyDescent="0.25">
      <c r="A576" s="17" t="s">
        <v>68</v>
      </c>
      <c r="B576" s="33">
        <v>26</v>
      </c>
      <c r="C576" s="17" t="s">
        <v>373</v>
      </c>
      <c r="D576" s="18">
        <v>44.8</v>
      </c>
      <c r="E576" s="33">
        <v>2685</v>
      </c>
      <c r="F576" s="17" t="s">
        <v>1443</v>
      </c>
      <c r="G576" s="17" t="s">
        <v>1469</v>
      </c>
    </row>
    <row r="577" ht="20" customHeight="1" spans="1:7" x14ac:dyDescent="0.25">
      <c r="A577" s="35" t="s">
        <v>68</v>
      </c>
      <c r="B577" s="36">
        <v>27</v>
      </c>
      <c r="C577" s="35" t="s">
        <v>397</v>
      </c>
      <c r="D577" s="37">
        <v>38.6</v>
      </c>
      <c r="E577" s="36">
        <v>2316</v>
      </c>
      <c r="F577" s="35" t="s">
        <v>1443</v>
      </c>
      <c r="G577" s="35" t="s">
        <v>1470</v>
      </c>
    </row>
    <row r="578" ht="20" customHeight="1" spans="1:7" x14ac:dyDescent="0.25">
      <c r="A578" s="17" t="s">
        <v>68</v>
      </c>
      <c r="B578" s="33">
        <v>28</v>
      </c>
      <c r="C578" s="17" t="s">
        <v>398</v>
      </c>
      <c r="D578" s="18">
        <v>24.7</v>
      </c>
      <c r="E578" s="33">
        <v>1482</v>
      </c>
      <c r="F578" s="17" t="s">
        <v>1443</v>
      </c>
      <c r="G578" s="17" t="s">
        <v>1471</v>
      </c>
    </row>
    <row r="579" ht="20" customHeight="1" spans="1:7" x14ac:dyDescent="0.25">
      <c r="A579" s="35" t="s">
        <v>68</v>
      </c>
      <c r="B579" s="36">
        <v>29</v>
      </c>
      <c r="C579" s="35" t="s">
        <v>422</v>
      </c>
      <c r="D579" s="37">
        <v>69.8</v>
      </c>
      <c r="E579" s="36">
        <v>4188</v>
      </c>
      <c r="F579" s="35" t="s">
        <v>1443</v>
      </c>
      <c r="G579" s="35" t="s">
        <v>1472</v>
      </c>
    </row>
    <row r="580" ht="20" customHeight="1" spans="1:7" x14ac:dyDescent="0.25">
      <c r="A580" s="17" t="s">
        <v>68</v>
      </c>
      <c r="B580" s="33">
        <v>30</v>
      </c>
      <c r="C580" s="17" t="s">
        <v>423</v>
      </c>
      <c r="D580" s="18">
        <v>35.6</v>
      </c>
      <c r="E580" s="33">
        <v>2139</v>
      </c>
      <c r="F580" s="17" t="s">
        <v>1443</v>
      </c>
      <c r="G580" s="17" t="s">
        <v>1473</v>
      </c>
    </row>
    <row r="581" ht="20" customHeight="1" spans="1:7" x14ac:dyDescent="0.25">
      <c r="A581" s="35" t="s">
        <v>68</v>
      </c>
      <c r="B581" s="36">
        <v>31</v>
      </c>
      <c r="C581" s="35" t="s">
        <v>447</v>
      </c>
      <c r="D581" s="37">
        <v>41.9</v>
      </c>
      <c r="E581" s="36">
        <v>2514</v>
      </c>
      <c r="F581" s="35" t="s">
        <v>1443</v>
      </c>
      <c r="G581" s="35" t="s">
        <v>1474</v>
      </c>
    </row>
    <row r="582" ht="20" customHeight="1" spans="1:7" x14ac:dyDescent="0.25">
      <c r="A582" s="17" t="s">
        <v>68</v>
      </c>
      <c r="B582" s="33">
        <v>32</v>
      </c>
      <c r="C582" s="17" t="s">
        <v>448</v>
      </c>
      <c r="D582" s="18">
        <v>21.9</v>
      </c>
      <c r="E582" s="33">
        <v>1311</v>
      </c>
      <c r="F582" s="17" t="s">
        <v>1443</v>
      </c>
      <c r="G582" s="17" t="s">
        <v>1475</v>
      </c>
    </row>
    <row r="583" ht="20" customHeight="1" spans="1:7" x14ac:dyDescent="0.25">
      <c r="A583" s="35" t="s">
        <v>68</v>
      </c>
      <c r="B583" s="36">
        <v>33</v>
      </c>
      <c r="C583" s="35" t="s">
        <v>472</v>
      </c>
      <c r="D583" s="37">
        <v>55.3</v>
      </c>
      <c r="E583" s="36">
        <v>3316</v>
      </c>
      <c r="F583" s="35" t="s">
        <v>1443</v>
      </c>
      <c r="G583" s="35" t="s">
        <v>1476</v>
      </c>
    </row>
    <row r="584" ht="20" customHeight="1" spans="1:7" x14ac:dyDescent="0.25">
      <c r="A584" s="17" t="s">
        <v>68</v>
      </c>
      <c r="B584" s="33">
        <v>34</v>
      </c>
      <c r="C584" s="17" t="s">
        <v>473</v>
      </c>
      <c r="D584" s="18">
        <v>48.9</v>
      </c>
      <c r="E584" s="33">
        <v>2931</v>
      </c>
      <c r="F584" s="17" t="s">
        <v>1443</v>
      </c>
      <c r="G584" s="17" t="s">
        <v>1477</v>
      </c>
    </row>
    <row r="585" ht="20" customHeight="1" spans="1:7" x14ac:dyDescent="0.25">
      <c r="A585" s="35" t="s">
        <v>68</v>
      </c>
      <c r="B585" s="36">
        <v>35</v>
      </c>
      <c r="C585" s="35" t="s">
        <v>495</v>
      </c>
      <c r="D585" s="37">
        <v>24.9</v>
      </c>
      <c r="E585" s="36">
        <v>1493</v>
      </c>
      <c r="F585" s="35" t="s">
        <v>1443</v>
      </c>
      <c r="G585" s="35" t="s">
        <v>1478</v>
      </c>
    </row>
    <row r="586" ht="20" customHeight="1" spans="1:7" x14ac:dyDescent="0.25">
      <c r="A586" s="17" t="s">
        <v>68</v>
      </c>
      <c r="B586" s="33">
        <v>36</v>
      </c>
      <c r="C586" s="17" t="s">
        <v>496</v>
      </c>
      <c r="D586" s="18">
        <v>20.4</v>
      </c>
      <c r="E586" s="33">
        <v>1222</v>
      </c>
      <c r="F586" s="17" t="s">
        <v>1443</v>
      </c>
      <c r="G586" s="17" t="s">
        <v>1479</v>
      </c>
    </row>
    <row r="587" ht="20" customHeight="1" spans="1:7" x14ac:dyDescent="0.25">
      <c r="A587" s="35" t="s">
        <v>68</v>
      </c>
      <c r="B587" s="36">
        <v>37</v>
      </c>
      <c r="C587" s="35" t="s">
        <v>518</v>
      </c>
      <c r="D587" s="37">
        <v>24.1</v>
      </c>
      <c r="E587" s="36">
        <v>1446</v>
      </c>
      <c r="F587" s="35" t="s">
        <v>1443</v>
      </c>
      <c r="G587" s="35" t="s">
        <v>1480</v>
      </c>
    </row>
    <row r="588" ht="20" customHeight="1" spans="1:7" x14ac:dyDescent="0.25">
      <c r="A588" s="17" t="s">
        <v>68</v>
      </c>
      <c r="B588" s="33">
        <v>38</v>
      </c>
      <c r="C588" s="17" t="s">
        <v>519</v>
      </c>
      <c r="D588" s="18">
        <v>38.1</v>
      </c>
      <c r="E588" s="33">
        <v>2288</v>
      </c>
      <c r="F588" s="17" t="s">
        <v>1443</v>
      </c>
      <c r="G588" s="17" t="s">
        <v>1481</v>
      </c>
    </row>
    <row r="589" ht="20" customHeight="1" spans="1:7" x14ac:dyDescent="0.25">
      <c r="A589" s="35" t="s">
        <v>68</v>
      </c>
      <c r="B589" s="36">
        <v>39</v>
      </c>
      <c r="C589" s="35" t="s">
        <v>541</v>
      </c>
      <c r="D589" s="37">
        <v>44.3</v>
      </c>
      <c r="E589" s="36">
        <v>2659</v>
      </c>
      <c r="F589" s="35" t="s">
        <v>1443</v>
      </c>
      <c r="G589" s="35" t="s">
        <v>1482</v>
      </c>
    </row>
    <row r="590" ht="20" customHeight="1" spans="1:7" x14ac:dyDescent="0.25">
      <c r="A590" s="17" t="s">
        <v>68</v>
      </c>
      <c r="B590" s="33">
        <v>40</v>
      </c>
      <c r="C590" s="17" t="s">
        <v>542</v>
      </c>
      <c r="D590" s="18">
        <v>17.2</v>
      </c>
      <c r="E590" s="33">
        <v>1030</v>
      </c>
      <c r="F590" s="17" t="s">
        <v>1443</v>
      </c>
      <c r="G590" s="17" t="s">
        <v>1483</v>
      </c>
    </row>
    <row r="591" ht="20" customHeight="1" spans="1:7" x14ac:dyDescent="0.25">
      <c r="A591" s="35" t="s">
        <v>68</v>
      </c>
      <c r="B591" s="36">
        <v>41</v>
      </c>
      <c r="C591" s="35" t="s">
        <v>562</v>
      </c>
      <c r="D591" s="37">
        <v>91.9</v>
      </c>
      <c r="E591" s="36">
        <v>5512</v>
      </c>
      <c r="F591" s="35" t="s">
        <v>1443</v>
      </c>
      <c r="G591" s="35" t="s">
        <v>1484</v>
      </c>
    </row>
    <row r="592" ht="20" customHeight="1" spans="1:7" x14ac:dyDescent="0.25">
      <c r="A592" s="17" t="s">
        <v>68</v>
      </c>
      <c r="B592" s="33">
        <v>42</v>
      </c>
      <c r="C592" s="17" t="s">
        <v>563</v>
      </c>
      <c r="D592" s="18">
        <v>58.2</v>
      </c>
      <c r="E592" s="33">
        <v>3493</v>
      </c>
      <c r="F592" s="17" t="s">
        <v>1443</v>
      </c>
      <c r="G592" s="17" t="s">
        <v>1485</v>
      </c>
    </row>
    <row r="593" ht="20" customHeight="1" spans="1:7" x14ac:dyDescent="0.25">
      <c r="A593" s="35" t="s">
        <v>68</v>
      </c>
      <c r="B593" s="36">
        <v>43</v>
      </c>
      <c r="C593" s="35" t="s">
        <v>582</v>
      </c>
      <c r="D593" s="37">
        <v>56.8</v>
      </c>
      <c r="E593" s="36">
        <v>3409</v>
      </c>
      <c r="F593" s="35" t="s">
        <v>1443</v>
      </c>
      <c r="G593" s="35" t="s">
        <v>1486</v>
      </c>
    </row>
    <row r="594" ht="20" customHeight="1" spans="1:7" x14ac:dyDescent="0.25">
      <c r="A594" s="17" t="s">
        <v>68</v>
      </c>
      <c r="B594" s="33">
        <v>44</v>
      </c>
      <c r="C594" s="17" t="s">
        <v>583</v>
      </c>
      <c r="D594" s="18">
        <v>37.4</v>
      </c>
      <c r="E594" s="33">
        <v>2242</v>
      </c>
      <c r="F594" s="17" t="s">
        <v>1443</v>
      </c>
      <c r="G594" s="17" t="s">
        <v>1487</v>
      </c>
    </row>
    <row r="595" ht="20" customHeight="1" spans="1:7" x14ac:dyDescent="0.25">
      <c r="A595" s="35" t="s">
        <v>68</v>
      </c>
      <c r="B595" s="36">
        <v>45</v>
      </c>
      <c r="C595" s="35" t="s">
        <v>601</v>
      </c>
      <c r="D595" s="37">
        <v>40.7</v>
      </c>
      <c r="E595" s="36">
        <v>2443</v>
      </c>
      <c r="F595" s="35" t="s">
        <v>1443</v>
      </c>
      <c r="G595" s="35" t="s">
        <v>1488</v>
      </c>
    </row>
    <row r="596" ht="20" customHeight="1" spans="1:7" x14ac:dyDescent="0.25">
      <c r="A596" s="17" t="s">
        <v>68</v>
      </c>
      <c r="B596" s="33">
        <v>46</v>
      </c>
      <c r="C596" s="17" t="s">
        <v>602</v>
      </c>
      <c r="D596" s="18">
        <v>50.2</v>
      </c>
      <c r="E596" s="33">
        <v>3010</v>
      </c>
      <c r="F596" s="17" t="s">
        <v>1443</v>
      </c>
      <c r="G596" s="17" t="s">
        <v>1489</v>
      </c>
    </row>
    <row r="597" ht="20" customHeight="1" spans="1:7" x14ac:dyDescent="0.25">
      <c r="A597" s="35" t="s">
        <v>68</v>
      </c>
      <c r="B597" s="36">
        <v>47</v>
      </c>
      <c r="C597" s="35" t="s">
        <v>620</v>
      </c>
      <c r="D597" s="37">
        <v>40.8</v>
      </c>
      <c r="E597" s="36">
        <v>2449</v>
      </c>
      <c r="F597" s="35" t="s">
        <v>1443</v>
      </c>
      <c r="G597" s="35" t="s">
        <v>1490</v>
      </c>
    </row>
    <row r="598" ht="20" customHeight="1" spans="1:7" x14ac:dyDescent="0.25">
      <c r="A598" s="17" t="s">
        <v>68</v>
      </c>
      <c r="B598" s="33">
        <v>48</v>
      </c>
      <c r="C598" s="17" t="s">
        <v>621</v>
      </c>
      <c r="D598" s="18">
        <v>44.5</v>
      </c>
      <c r="E598" s="33">
        <v>2669</v>
      </c>
      <c r="F598" s="17" t="s">
        <v>1443</v>
      </c>
      <c r="G598" s="17" t="s">
        <v>1491</v>
      </c>
    </row>
    <row r="599" ht="20" customHeight="1" spans="1:7" x14ac:dyDescent="0.25">
      <c r="A599" s="35" t="s">
        <v>68</v>
      </c>
      <c r="B599" s="36">
        <v>49</v>
      </c>
      <c r="C599" s="35" t="s">
        <v>639</v>
      </c>
      <c r="D599" s="37">
        <v>32.3</v>
      </c>
      <c r="E599" s="36">
        <v>1936</v>
      </c>
      <c r="F599" s="35" t="s">
        <v>1443</v>
      </c>
      <c r="G599" s="35" t="s">
        <v>1492</v>
      </c>
    </row>
    <row r="600" ht="20" customHeight="1" spans="1:7" x14ac:dyDescent="0.25">
      <c r="A600" s="17" t="s">
        <v>68</v>
      </c>
      <c r="B600" s="33">
        <v>50</v>
      </c>
      <c r="C600" s="17" t="s">
        <v>640</v>
      </c>
      <c r="D600" s="18">
        <v>36.2</v>
      </c>
      <c r="E600" s="33">
        <v>2170</v>
      </c>
      <c r="F600" s="17" t="s">
        <v>1443</v>
      </c>
      <c r="G600" s="17" t="s">
        <v>1493</v>
      </c>
    </row>
    <row r="601" ht="20" customHeight="1" spans="1:7" x14ac:dyDescent="0.25">
      <c r="A601" s="35" t="s">
        <v>68</v>
      </c>
      <c r="B601" s="36">
        <v>51</v>
      </c>
      <c r="C601" s="35" t="s">
        <v>658</v>
      </c>
      <c r="D601" s="37">
        <v>27.6</v>
      </c>
      <c r="E601" s="36">
        <v>1654</v>
      </c>
      <c r="F601" s="35" t="s">
        <v>1443</v>
      </c>
      <c r="G601" s="35" t="s">
        <v>1494</v>
      </c>
    </row>
    <row r="602" ht="20" customHeight="1" spans="1:7" x14ac:dyDescent="0.25">
      <c r="A602" s="17" t="s">
        <v>68</v>
      </c>
      <c r="B602" s="33">
        <v>52</v>
      </c>
      <c r="C602" s="17" t="s">
        <v>659</v>
      </c>
      <c r="D602" s="18">
        <v>30.7</v>
      </c>
      <c r="E602" s="33">
        <v>1840</v>
      </c>
      <c r="F602" s="17" t="s">
        <v>1443</v>
      </c>
      <c r="G602" s="17" t="s">
        <v>1495</v>
      </c>
    </row>
    <row r="603" ht="20" customHeight="1" spans="1:7" x14ac:dyDescent="0.25">
      <c r="A603" s="35" t="s">
        <v>68</v>
      </c>
      <c r="B603" s="36">
        <v>53</v>
      </c>
      <c r="C603" s="35" t="s">
        <v>677</v>
      </c>
      <c r="D603" s="37">
        <v>75.1</v>
      </c>
      <c r="E603" s="36">
        <v>4507</v>
      </c>
      <c r="F603" s="35" t="s">
        <v>1443</v>
      </c>
      <c r="G603" s="35" t="s">
        <v>1496</v>
      </c>
    </row>
    <row r="604" ht="20" customHeight="1" spans="1:7" x14ac:dyDescent="0.25">
      <c r="A604" s="17" t="s">
        <v>68</v>
      </c>
      <c r="B604" s="33">
        <v>54</v>
      </c>
      <c r="C604" s="17" t="s">
        <v>678</v>
      </c>
      <c r="D604" s="18">
        <v>44.5</v>
      </c>
      <c r="E604" s="33">
        <v>2673</v>
      </c>
      <c r="F604" s="17" t="s">
        <v>1443</v>
      </c>
      <c r="G604" s="17" t="s">
        <v>1497</v>
      </c>
    </row>
    <row r="605" ht="20" customHeight="1" spans="1:7" x14ac:dyDescent="0.25">
      <c r="A605" s="35" t="s">
        <v>68</v>
      </c>
      <c r="B605" s="36">
        <v>55</v>
      </c>
      <c r="C605" s="35" t="s">
        <v>696</v>
      </c>
      <c r="D605" s="37">
        <v>53.6</v>
      </c>
      <c r="E605" s="36">
        <v>3217</v>
      </c>
      <c r="F605" s="35" t="s">
        <v>1443</v>
      </c>
      <c r="G605" s="35" t="s">
        <v>1498</v>
      </c>
    </row>
    <row r="606" ht="20" customHeight="1" spans="1:7" x14ac:dyDescent="0.25">
      <c r="A606" s="17" t="s">
        <v>68</v>
      </c>
      <c r="B606" s="33">
        <v>56</v>
      </c>
      <c r="C606" s="17" t="s">
        <v>697</v>
      </c>
      <c r="D606" s="18">
        <v>35.2</v>
      </c>
      <c r="E606" s="33">
        <v>2112</v>
      </c>
      <c r="F606" s="17" t="s">
        <v>1443</v>
      </c>
      <c r="G606" s="17" t="s">
        <v>1499</v>
      </c>
    </row>
    <row r="607" ht="20" customHeight="1" spans="1:7" x14ac:dyDescent="0.25">
      <c r="A607" s="35" t="s">
        <v>68</v>
      </c>
      <c r="B607" s="36">
        <v>57</v>
      </c>
      <c r="C607" s="35" t="s">
        <v>715</v>
      </c>
      <c r="D607" s="37">
        <v>39.5</v>
      </c>
      <c r="E607" s="36">
        <v>2368</v>
      </c>
      <c r="F607" s="35" t="s">
        <v>1443</v>
      </c>
      <c r="G607" s="35" t="s">
        <v>1500</v>
      </c>
    </row>
    <row r="608" ht="20" customHeight="1" spans="1:7" x14ac:dyDescent="0.25">
      <c r="A608" s="17" t="s">
        <v>68</v>
      </c>
      <c r="B608" s="33">
        <v>58</v>
      </c>
      <c r="C608" s="17" t="s">
        <v>716</v>
      </c>
      <c r="D608" s="18">
        <v>28.9</v>
      </c>
      <c r="E608" s="33">
        <v>1737</v>
      </c>
      <c r="F608" s="17" t="s">
        <v>1443</v>
      </c>
      <c r="G608" s="17" t="s">
        <v>1501</v>
      </c>
    </row>
    <row r="609" ht="20" customHeight="1" spans="1:7" x14ac:dyDescent="0.25">
      <c r="A609" s="35" t="s">
        <v>68</v>
      </c>
      <c r="B609" s="36">
        <v>59</v>
      </c>
      <c r="C609" s="35" t="s">
        <v>732</v>
      </c>
      <c r="D609" s="37">
        <v>37.6</v>
      </c>
      <c r="E609" s="36">
        <v>2258</v>
      </c>
      <c r="F609" s="35" t="s">
        <v>1443</v>
      </c>
      <c r="G609" s="35" t="s">
        <v>1502</v>
      </c>
    </row>
    <row r="610" ht="20" customHeight="1" spans="1:7" x14ac:dyDescent="0.25">
      <c r="A610" s="17" t="s">
        <v>68</v>
      </c>
      <c r="B610" s="33">
        <v>60</v>
      </c>
      <c r="C610" s="17" t="s">
        <v>733</v>
      </c>
      <c r="D610" s="18">
        <v>27.2</v>
      </c>
      <c r="E610" s="33">
        <v>1633</v>
      </c>
      <c r="F610" s="17" t="s">
        <v>1443</v>
      </c>
      <c r="G610" s="17" t="s">
        <v>1503</v>
      </c>
    </row>
    <row r="611" ht="20" customHeight="1" spans="1:7" x14ac:dyDescent="0.25">
      <c r="A611" s="35" t="s">
        <v>68</v>
      </c>
      <c r="B611" s="36">
        <v>61</v>
      </c>
      <c r="C611" s="35" t="s">
        <v>745</v>
      </c>
      <c r="D611" s="37">
        <v>29.8</v>
      </c>
      <c r="E611" s="36">
        <v>1787</v>
      </c>
      <c r="F611" s="35" t="s">
        <v>1443</v>
      </c>
      <c r="G611" s="35" t="s">
        <v>1504</v>
      </c>
    </row>
    <row r="612" ht="20" customHeight="1" spans="1:7" x14ac:dyDescent="0.25">
      <c r="A612" s="17" t="s">
        <v>68</v>
      </c>
      <c r="B612" s="33">
        <v>62</v>
      </c>
      <c r="C612" s="17" t="s">
        <v>746</v>
      </c>
      <c r="D612" s="18">
        <v>29.9</v>
      </c>
      <c r="E612" s="33">
        <v>1792</v>
      </c>
      <c r="F612" s="17" t="s">
        <v>1443</v>
      </c>
      <c r="G612" s="17" t="s">
        <v>1505</v>
      </c>
    </row>
    <row r="613" ht="20" customHeight="1" spans="1:7" x14ac:dyDescent="0.25">
      <c r="A613" s="35" t="s">
        <v>68</v>
      </c>
      <c r="B613" s="36">
        <v>63</v>
      </c>
      <c r="C613" s="35" t="s">
        <v>758</v>
      </c>
      <c r="D613" s="37">
        <v>36.3</v>
      </c>
      <c r="E613" s="36">
        <v>2178</v>
      </c>
      <c r="F613" s="35" t="s">
        <v>1443</v>
      </c>
      <c r="G613" s="35" t="s">
        <v>1506</v>
      </c>
    </row>
    <row r="614" ht="20" customHeight="1" spans="1:7" x14ac:dyDescent="0.25">
      <c r="A614" s="17" t="s">
        <v>68</v>
      </c>
      <c r="B614" s="33">
        <v>64</v>
      </c>
      <c r="C614" s="17" t="s">
        <v>759</v>
      </c>
      <c r="D614" s="18">
        <v>29.1</v>
      </c>
      <c r="E614" s="33">
        <v>1747</v>
      </c>
      <c r="F614" s="17" t="s">
        <v>1443</v>
      </c>
      <c r="G614" s="17" t="s">
        <v>1507</v>
      </c>
    </row>
    <row r="615" ht="20" customHeight="1" spans="1:7" x14ac:dyDescent="0.25">
      <c r="A615" s="35" t="s">
        <v>68</v>
      </c>
      <c r="B615" s="36">
        <v>65</v>
      </c>
      <c r="C615" s="35" t="s">
        <v>771</v>
      </c>
      <c r="D615" s="37">
        <v>19.4</v>
      </c>
      <c r="E615" s="36">
        <v>1166</v>
      </c>
      <c r="F615" s="35" t="s">
        <v>1443</v>
      </c>
      <c r="G615" s="35" t="s">
        <v>1508</v>
      </c>
    </row>
    <row r="616" ht="20" customHeight="1" spans="1:7" x14ac:dyDescent="0.25">
      <c r="A616" s="17" t="s">
        <v>68</v>
      </c>
      <c r="B616" s="33">
        <v>66</v>
      </c>
      <c r="C616" s="17" t="s">
        <v>772</v>
      </c>
      <c r="D616" s="18">
        <v>38.6</v>
      </c>
      <c r="E616" s="33">
        <v>2314</v>
      </c>
      <c r="F616" s="17" t="s">
        <v>1443</v>
      </c>
      <c r="G616" s="17" t="s">
        <v>1509</v>
      </c>
    </row>
    <row r="617" ht="20" customHeight="1" spans="1:7" x14ac:dyDescent="0.25">
      <c r="A617" s="35" t="s">
        <v>68</v>
      </c>
      <c r="B617" s="36">
        <v>67</v>
      </c>
      <c r="C617" s="35" t="s">
        <v>784</v>
      </c>
      <c r="D617" s="37">
        <v>54</v>
      </c>
      <c r="E617" s="36">
        <v>3240</v>
      </c>
      <c r="F617" s="35" t="s">
        <v>1443</v>
      </c>
      <c r="G617" s="35" t="s">
        <v>1510</v>
      </c>
    </row>
    <row r="618" ht="20" customHeight="1" spans="1:7" x14ac:dyDescent="0.25">
      <c r="A618" s="17" t="s">
        <v>68</v>
      </c>
      <c r="B618" s="33">
        <v>68</v>
      </c>
      <c r="C618" s="17" t="s">
        <v>785</v>
      </c>
      <c r="D618" s="18">
        <v>36.6</v>
      </c>
      <c r="E618" s="33">
        <v>2199</v>
      </c>
      <c r="F618" s="17" t="s">
        <v>1443</v>
      </c>
      <c r="G618" s="17" t="s">
        <v>1511</v>
      </c>
    </row>
    <row r="619" ht="20" customHeight="1" spans="1:7" x14ac:dyDescent="0.25">
      <c r="A619" s="35" t="s">
        <v>68</v>
      </c>
      <c r="B619" s="36">
        <v>69</v>
      </c>
      <c r="C619" s="35" t="s">
        <v>797</v>
      </c>
      <c r="D619" s="37">
        <v>50.3</v>
      </c>
      <c r="E619" s="36">
        <v>3017</v>
      </c>
      <c r="F619" s="35" t="s">
        <v>1443</v>
      </c>
      <c r="G619" s="35" t="s">
        <v>1512</v>
      </c>
    </row>
    <row r="620" ht="20" customHeight="1" spans="1:7" x14ac:dyDescent="0.25">
      <c r="A620" s="17" t="s">
        <v>68</v>
      </c>
      <c r="B620" s="33">
        <v>70</v>
      </c>
      <c r="C620" s="17" t="s">
        <v>798</v>
      </c>
      <c r="D620" s="18">
        <v>31</v>
      </c>
      <c r="E620" s="33">
        <v>1858</v>
      </c>
      <c r="F620" s="17" t="s">
        <v>1443</v>
      </c>
      <c r="G620" s="17" t="s">
        <v>1513</v>
      </c>
    </row>
    <row r="621" ht="20" customHeight="1" spans="1:7" x14ac:dyDescent="0.25">
      <c r="A621" s="35" t="s">
        <v>68</v>
      </c>
      <c r="B621" s="36">
        <v>71</v>
      </c>
      <c r="C621" s="35" t="s">
        <v>809</v>
      </c>
      <c r="D621" s="37">
        <v>46.1</v>
      </c>
      <c r="E621" s="36">
        <v>2765</v>
      </c>
      <c r="F621" s="35" t="s">
        <v>1443</v>
      </c>
      <c r="G621" s="35" t="s">
        <v>1514</v>
      </c>
    </row>
    <row r="622" ht="20" customHeight="1" spans="1:7" x14ac:dyDescent="0.25">
      <c r="A622" s="17" t="s">
        <v>68</v>
      </c>
      <c r="B622" s="33">
        <v>72</v>
      </c>
      <c r="C622" s="17" t="s">
        <v>810</v>
      </c>
      <c r="D622" s="18">
        <v>54.1</v>
      </c>
      <c r="E622" s="33">
        <v>3249</v>
      </c>
      <c r="F622" s="17" t="s">
        <v>1443</v>
      </c>
      <c r="G622" s="17" t="s">
        <v>1515</v>
      </c>
    </row>
    <row r="623" ht="20" customHeight="1" spans="1:7" x14ac:dyDescent="0.25">
      <c r="A623" s="35" t="s">
        <v>68</v>
      </c>
      <c r="B623" s="36">
        <v>73</v>
      </c>
      <c r="C623" s="35" t="s">
        <v>820</v>
      </c>
      <c r="D623" s="37">
        <v>47.7</v>
      </c>
      <c r="E623" s="36">
        <v>2860</v>
      </c>
      <c r="F623" s="35" t="s">
        <v>1443</v>
      </c>
      <c r="G623" s="35" t="s">
        <v>1516</v>
      </c>
    </row>
    <row r="624" ht="20" customHeight="1" spans="1:7" x14ac:dyDescent="0.25">
      <c r="A624" s="17" t="s">
        <v>68</v>
      </c>
      <c r="B624" s="33">
        <v>74</v>
      </c>
      <c r="C624" s="17" t="s">
        <v>821</v>
      </c>
      <c r="D624" s="18">
        <v>14</v>
      </c>
      <c r="E624" s="33">
        <v>841</v>
      </c>
      <c r="F624" s="17" t="s">
        <v>1443</v>
      </c>
      <c r="G624" s="17" t="s">
        <v>1517</v>
      </c>
    </row>
    <row r="625" ht="20" customHeight="1" spans="1:7" x14ac:dyDescent="0.25">
      <c r="A625" s="35" t="s">
        <v>68</v>
      </c>
      <c r="B625" s="36">
        <v>75</v>
      </c>
      <c r="C625" s="35" t="s">
        <v>831</v>
      </c>
      <c r="D625" s="37">
        <v>77.3</v>
      </c>
      <c r="E625" s="36">
        <v>4639</v>
      </c>
      <c r="F625" s="35" t="s">
        <v>1443</v>
      </c>
      <c r="G625" s="35" t="s">
        <v>1518</v>
      </c>
    </row>
    <row r="626" ht="20" customHeight="1" spans="1:7" x14ac:dyDescent="0.25">
      <c r="A626" s="17" t="s">
        <v>68</v>
      </c>
      <c r="B626" s="33">
        <v>76</v>
      </c>
      <c r="C626" s="17" t="s">
        <v>832</v>
      </c>
      <c r="D626" s="18">
        <v>5.7</v>
      </c>
      <c r="E626" s="33">
        <v>341</v>
      </c>
      <c r="F626" s="17" t="s">
        <v>1443</v>
      </c>
      <c r="G626" s="17" t="s">
        <v>1519</v>
      </c>
    </row>
    <row r="627" ht="20" customHeight="1" spans="1:7" x14ac:dyDescent="0.25">
      <c r="A627" s="35" t="s">
        <v>63</v>
      </c>
      <c r="B627" s="36">
        <v>1</v>
      </c>
      <c r="C627" s="35" t="s">
        <v>64</v>
      </c>
      <c r="D627" s="37">
        <v>17.6</v>
      </c>
      <c r="E627" s="36">
        <v>1059</v>
      </c>
      <c r="F627" s="35" t="s">
        <v>1520</v>
      </c>
      <c r="G627" s="35" t="s">
        <v>1521</v>
      </c>
    </row>
    <row r="628" ht="20" customHeight="1" spans="1:7" x14ac:dyDescent="0.25">
      <c r="A628" s="17" t="s">
        <v>63</v>
      </c>
      <c r="B628" s="33">
        <v>2</v>
      </c>
      <c r="C628" s="17" t="s">
        <v>66</v>
      </c>
      <c r="D628" s="18">
        <v>88.8</v>
      </c>
      <c r="E628" s="33">
        <v>5327</v>
      </c>
      <c r="F628" s="17" t="s">
        <v>1520</v>
      </c>
      <c r="G628" s="17" t="s">
        <v>1522</v>
      </c>
    </row>
    <row r="629" ht="20" customHeight="1" spans="1:7" x14ac:dyDescent="0.25">
      <c r="A629" s="35" t="s">
        <v>63</v>
      </c>
      <c r="B629" s="36">
        <v>3</v>
      </c>
      <c r="C629" s="35" t="s">
        <v>95</v>
      </c>
      <c r="D629" s="37">
        <v>27.9</v>
      </c>
      <c r="E629" s="36">
        <v>1676</v>
      </c>
      <c r="F629" s="35" t="s">
        <v>1520</v>
      </c>
      <c r="G629" s="35" t="s">
        <v>1523</v>
      </c>
    </row>
    <row r="630" ht="20" customHeight="1" spans="1:7" x14ac:dyDescent="0.25">
      <c r="A630" s="17" t="s">
        <v>63</v>
      </c>
      <c r="B630" s="33">
        <v>4</v>
      </c>
      <c r="C630" s="17" t="s">
        <v>96</v>
      </c>
      <c r="D630" s="18">
        <v>17.2</v>
      </c>
      <c r="E630" s="33">
        <v>1035</v>
      </c>
      <c r="F630" s="17" t="s">
        <v>1520</v>
      </c>
      <c r="G630" s="17" t="s">
        <v>1524</v>
      </c>
    </row>
    <row r="631" ht="20" customHeight="1" spans="1:7" x14ac:dyDescent="0.25">
      <c r="A631" s="35" t="s">
        <v>63</v>
      </c>
      <c r="B631" s="36">
        <v>5</v>
      </c>
      <c r="C631" s="35" t="s">
        <v>120</v>
      </c>
      <c r="D631" s="37">
        <v>12.3</v>
      </c>
      <c r="E631" s="36">
        <v>741</v>
      </c>
      <c r="F631" s="35" t="s">
        <v>1520</v>
      </c>
      <c r="G631" s="35" t="s">
        <v>1525</v>
      </c>
    </row>
    <row r="632" ht="20" customHeight="1" spans="1:7" x14ac:dyDescent="0.25">
      <c r="A632" s="17" t="s">
        <v>63</v>
      </c>
      <c r="B632" s="33">
        <v>6</v>
      </c>
      <c r="C632" s="17" t="s">
        <v>121</v>
      </c>
      <c r="D632" s="18">
        <v>18.1</v>
      </c>
      <c r="E632" s="33">
        <v>1086</v>
      </c>
      <c r="F632" s="17" t="s">
        <v>1520</v>
      </c>
      <c r="G632" s="17" t="s">
        <v>1526</v>
      </c>
    </row>
    <row r="633" ht="20" customHeight="1" spans="1:7" x14ac:dyDescent="0.25">
      <c r="A633" s="35" t="s">
        <v>63</v>
      </c>
      <c r="B633" s="36">
        <v>7</v>
      </c>
      <c r="C633" s="35" t="s">
        <v>145</v>
      </c>
      <c r="D633" s="37">
        <v>44</v>
      </c>
      <c r="E633" s="36">
        <v>2637</v>
      </c>
      <c r="F633" s="35" t="s">
        <v>1520</v>
      </c>
      <c r="G633" s="35" t="s">
        <v>1527</v>
      </c>
    </row>
    <row r="634" ht="20" customHeight="1" spans="1:7" x14ac:dyDescent="0.25">
      <c r="A634" s="17" t="s">
        <v>63</v>
      </c>
      <c r="B634" s="33">
        <v>8</v>
      </c>
      <c r="C634" s="17" t="s">
        <v>146</v>
      </c>
      <c r="D634" s="18">
        <v>16.1</v>
      </c>
      <c r="E634" s="33">
        <v>968</v>
      </c>
      <c r="F634" s="17" t="s">
        <v>1520</v>
      </c>
      <c r="G634" s="17" t="s">
        <v>1528</v>
      </c>
    </row>
    <row r="635" ht="20" customHeight="1" spans="1:7" x14ac:dyDescent="0.25">
      <c r="A635" s="35" t="s">
        <v>63</v>
      </c>
      <c r="B635" s="36">
        <v>9</v>
      </c>
      <c r="C635" s="35" t="s">
        <v>170</v>
      </c>
      <c r="D635" s="37">
        <v>52.6</v>
      </c>
      <c r="E635" s="36">
        <v>3159</v>
      </c>
      <c r="F635" s="35" t="s">
        <v>1520</v>
      </c>
      <c r="G635" s="35" t="s">
        <v>1529</v>
      </c>
    </row>
    <row r="636" ht="20" customHeight="1" spans="1:7" x14ac:dyDescent="0.25">
      <c r="A636" s="17" t="s">
        <v>63</v>
      </c>
      <c r="B636" s="33">
        <v>10</v>
      </c>
      <c r="C636" s="17" t="s">
        <v>171</v>
      </c>
      <c r="D636" s="18">
        <v>21</v>
      </c>
      <c r="E636" s="33">
        <v>1260</v>
      </c>
      <c r="F636" s="17" t="s">
        <v>1520</v>
      </c>
      <c r="G636" s="17" t="s">
        <v>1530</v>
      </c>
    </row>
    <row r="637" ht="20" customHeight="1" spans="1:7" x14ac:dyDescent="0.25">
      <c r="A637" s="35" t="s">
        <v>63</v>
      </c>
      <c r="B637" s="36">
        <v>11</v>
      </c>
      <c r="C637" s="35" t="s">
        <v>195</v>
      </c>
      <c r="D637" s="37">
        <v>21.8</v>
      </c>
      <c r="E637" s="36">
        <v>1307</v>
      </c>
      <c r="F637" s="35" t="s">
        <v>1520</v>
      </c>
      <c r="G637" s="35" t="s">
        <v>1531</v>
      </c>
    </row>
    <row r="638" ht="20" customHeight="1" spans="1:7" x14ac:dyDescent="0.25">
      <c r="A638" s="17" t="s">
        <v>63</v>
      </c>
      <c r="B638" s="33">
        <v>12</v>
      </c>
      <c r="C638" s="17" t="s">
        <v>196</v>
      </c>
      <c r="D638" s="18">
        <v>31</v>
      </c>
      <c r="E638" s="33">
        <v>1862</v>
      </c>
      <c r="F638" s="17" t="s">
        <v>1520</v>
      </c>
      <c r="G638" s="17" t="s">
        <v>1532</v>
      </c>
    </row>
    <row r="639" ht="20" customHeight="1" spans="1:7" x14ac:dyDescent="0.25">
      <c r="A639" s="35" t="s">
        <v>63</v>
      </c>
      <c r="B639" s="36">
        <v>13</v>
      </c>
      <c r="C639" s="35" t="s">
        <v>220</v>
      </c>
      <c r="D639" s="37">
        <v>35.3</v>
      </c>
      <c r="E639" s="36">
        <v>2120</v>
      </c>
      <c r="F639" s="35" t="s">
        <v>1520</v>
      </c>
      <c r="G639" s="35" t="s">
        <v>1533</v>
      </c>
    </row>
    <row r="640" ht="20" customHeight="1" spans="1:7" x14ac:dyDescent="0.25">
      <c r="A640" s="17" t="s">
        <v>63</v>
      </c>
      <c r="B640" s="33">
        <v>14</v>
      </c>
      <c r="C640" s="17" t="s">
        <v>221</v>
      </c>
      <c r="D640" s="18">
        <v>37.8</v>
      </c>
      <c r="E640" s="33">
        <v>2270</v>
      </c>
      <c r="F640" s="17" t="s">
        <v>1520</v>
      </c>
      <c r="G640" s="17" t="s">
        <v>1534</v>
      </c>
    </row>
    <row r="641" ht="20" customHeight="1" spans="1:7" x14ac:dyDescent="0.25">
      <c r="A641" s="35" t="s">
        <v>63</v>
      </c>
      <c r="B641" s="36">
        <v>15</v>
      </c>
      <c r="C641" s="35" t="s">
        <v>245</v>
      </c>
      <c r="D641" s="37">
        <v>36.2</v>
      </c>
      <c r="E641" s="36">
        <v>2171</v>
      </c>
      <c r="F641" s="35" t="s">
        <v>1520</v>
      </c>
      <c r="G641" s="35" t="s">
        <v>1535</v>
      </c>
    </row>
    <row r="642" ht="20" customHeight="1" spans="1:7" x14ac:dyDescent="0.25">
      <c r="A642" s="17" t="s">
        <v>63</v>
      </c>
      <c r="B642" s="33">
        <v>16</v>
      </c>
      <c r="C642" s="17" t="s">
        <v>246</v>
      </c>
      <c r="D642" s="18">
        <v>19.8</v>
      </c>
      <c r="E642" s="33">
        <v>1187</v>
      </c>
      <c r="F642" s="17" t="s">
        <v>1520</v>
      </c>
      <c r="G642" s="17" t="s">
        <v>1536</v>
      </c>
    </row>
    <row r="643" ht="20" customHeight="1" spans="1:7" x14ac:dyDescent="0.25">
      <c r="A643" s="35" t="s">
        <v>63</v>
      </c>
      <c r="B643" s="36">
        <v>17</v>
      </c>
      <c r="C643" s="35" t="s">
        <v>270</v>
      </c>
      <c r="D643" s="37">
        <v>19.1</v>
      </c>
      <c r="E643" s="36">
        <v>1148</v>
      </c>
      <c r="F643" s="35" t="s">
        <v>1520</v>
      </c>
      <c r="G643" s="35" t="s">
        <v>1537</v>
      </c>
    </row>
    <row r="644" ht="20" customHeight="1" spans="1:7" x14ac:dyDescent="0.25">
      <c r="A644" s="17" t="s">
        <v>63</v>
      </c>
      <c r="B644" s="33">
        <v>18</v>
      </c>
      <c r="C644" s="17" t="s">
        <v>271</v>
      </c>
      <c r="D644" s="18">
        <v>14.5</v>
      </c>
      <c r="E644" s="33">
        <v>869</v>
      </c>
      <c r="F644" s="17" t="s">
        <v>1520</v>
      </c>
      <c r="G644" s="17" t="s">
        <v>1538</v>
      </c>
    </row>
    <row r="645" ht="20" customHeight="1" spans="1:7" x14ac:dyDescent="0.25">
      <c r="A645" s="35" t="s">
        <v>63</v>
      </c>
      <c r="B645" s="36">
        <v>19</v>
      </c>
      <c r="C645" s="35" t="s">
        <v>295</v>
      </c>
      <c r="D645" s="37">
        <v>19.2</v>
      </c>
      <c r="E645" s="36">
        <v>1150</v>
      </c>
      <c r="F645" s="35" t="s">
        <v>1520</v>
      </c>
      <c r="G645" s="35" t="s">
        <v>1539</v>
      </c>
    </row>
    <row r="646" ht="20" customHeight="1" spans="1:7" x14ac:dyDescent="0.25">
      <c r="A646" s="17" t="s">
        <v>63</v>
      </c>
      <c r="B646" s="33">
        <v>20</v>
      </c>
      <c r="C646" s="17" t="s">
        <v>296</v>
      </c>
      <c r="D646" s="18">
        <v>8.5</v>
      </c>
      <c r="E646" s="33">
        <v>511</v>
      </c>
      <c r="F646" s="17" t="s">
        <v>1520</v>
      </c>
      <c r="G646" s="17" t="s">
        <v>1540</v>
      </c>
    </row>
    <row r="647" ht="20" customHeight="1" spans="1:7" x14ac:dyDescent="0.25">
      <c r="A647" s="35" t="s">
        <v>63</v>
      </c>
      <c r="B647" s="36">
        <v>21</v>
      </c>
      <c r="C647" s="35" t="s">
        <v>320</v>
      </c>
      <c r="D647" s="37">
        <v>25.7</v>
      </c>
      <c r="E647" s="36">
        <v>1544</v>
      </c>
      <c r="F647" s="35" t="s">
        <v>1520</v>
      </c>
      <c r="G647" s="35" t="s">
        <v>1541</v>
      </c>
    </row>
    <row r="648" ht="20" customHeight="1" spans="1:7" x14ac:dyDescent="0.25">
      <c r="A648" s="17" t="s">
        <v>63</v>
      </c>
      <c r="B648" s="33">
        <v>22</v>
      </c>
      <c r="C648" s="17" t="s">
        <v>321</v>
      </c>
      <c r="D648" s="18">
        <v>14.9</v>
      </c>
      <c r="E648" s="33">
        <v>893</v>
      </c>
      <c r="F648" s="17" t="s">
        <v>1520</v>
      </c>
      <c r="G648" s="17" t="s">
        <v>1542</v>
      </c>
    </row>
    <row r="649" ht="20" customHeight="1" spans="1:7" x14ac:dyDescent="0.25">
      <c r="A649" s="35" t="s">
        <v>63</v>
      </c>
      <c r="B649" s="36">
        <v>23</v>
      </c>
      <c r="C649" s="35" t="s">
        <v>345</v>
      </c>
      <c r="D649" s="37">
        <v>41.4</v>
      </c>
      <c r="E649" s="36">
        <v>2481</v>
      </c>
      <c r="F649" s="35" t="s">
        <v>1520</v>
      </c>
      <c r="G649" s="35" t="s">
        <v>1543</v>
      </c>
    </row>
    <row r="650" ht="20" customHeight="1" spans="1:7" x14ac:dyDescent="0.25">
      <c r="A650" s="17" t="s">
        <v>63</v>
      </c>
      <c r="B650" s="33">
        <v>24</v>
      </c>
      <c r="C650" s="17" t="s">
        <v>346</v>
      </c>
      <c r="D650" s="18">
        <v>25.1</v>
      </c>
      <c r="E650" s="33">
        <v>1504</v>
      </c>
      <c r="F650" s="17" t="s">
        <v>1520</v>
      </c>
      <c r="G650" s="17" t="s">
        <v>1544</v>
      </c>
    </row>
    <row r="651" ht="20" customHeight="1" spans="1:7" x14ac:dyDescent="0.25">
      <c r="A651" s="35" t="s">
        <v>63</v>
      </c>
      <c r="B651" s="36">
        <v>25</v>
      </c>
      <c r="C651" s="35" t="s">
        <v>370</v>
      </c>
      <c r="D651" s="37">
        <v>28.4</v>
      </c>
      <c r="E651" s="36">
        <v>1702</v>
      </c>
      <c r="F651" s="35" t="s">
        <v>1520</v>
      </c>
      <c r="G651" s="35" t="s">
        <v>1545</v>
      </c>
    </row>
    <row r="652" ht="20" customHeight="1" spans="1:7" x14ac:dyDescent="0.25">
      <c r="A652" s="17" t="s">
        <v>63</v>
      </c>
      <c r="B652" s="33">
        <v>26</v>
      </c>
      <c r="C652" s="17" t="s">
        <v>371</v>
      </c>
      <c r="D652" s="18">
        <v>21.1</v>
      </c>
      <c r="E652" s="33">
        <v>1267</v>
      </c>
      <c r="F652" s="17" t="s">
        <v>1520</v>
      </c>
      <c r="G652" s="17" t="s">
        <v>1546</v>
      </c>
    </row>
    <row r="653" ht="20" customHeight="1" spans="1:7" x14ac:dyDescent="0.25">
      <c r="A653" s="35" t="s">
        <v>63</v>
      </c>
      <c r="B653" s="36">
        <v>27</v>
      </c>
      <c r="C653" s="35" t="s">
        <v>395</v>
      </c>
      <c r="D653" s="37">
        <v>33.9</v>
      </c>
      <c r="E653" s="36">
        <v>2035</v>
      </c>
      <c r="F653" s="35" t="s">
        <v>1520</v>
      </c>
      <c r="G653" s="35" t="s">
        <v>1547</v>
      </c>
    </row>
    <row r="654" ht="20" customHeight="1" spans="1:7" x14ac:dyDescent="0.25">
      <c r="A654" s="17" t="s">
        <v>63</v>
      </c>
      <c r="B654" s="33">
        <v>28</v>
      </c>
      <c r="C654" s="17" t="s">
        <v>396</v>
      </c>
      <c r="D654" s="18">
        <v>33</v>
      </c>
      <c r="E654" s="33">
        <v>1978</v>
      </c>
      <c r="F654" s="17" t="s">
        <v>1520</v>
      </c>
      <c r="G654" s="17" t="s">
        <v>1548</v>
      </c>
    </row>
    <row r="655" ht="20" customHeight="1" spans="1:7" x14ac:dyDescent="0.25">
      <c r="A655" s="35" t="s">
        <v>63</v>
      </c>
      <c r="B655" s="36">
        <v>29</v>
      </c>
      <c r="C655" s="35" t="s">
        <v>420</v>
      </c>
      <c r="D655" s="37">
        <v>17.2</v>
      </c>
      <c r="E655" s="36">
        <v>1031</v>
      </c>
      <c r="F655" s="35" t="s">
        <v>1520</v>
      </c>
      <c r="G655" s="35" t="s">
        <v>1549</v>
      </c>
    </row>
    <row r="656" ht="20" customHeight="1" spans="1:7" x14ac:dyDescent="0.25">
      <c r="A656" s="17" t="s">
        <v>63</v>
      </c>
      <c r="B656" s="33">
        <v>30</v>
      </c>
      <c r="C656" s="17" t="s">
        <v>421</v>
      </c>
      <c r="D656" s="18">
        <v>8.7</v>
      </c>
      <c r="E656" s="33">
        <v>521</v>
      </c>
      <c r="F656" s="17" t="s">
        <v>1520</v>
      </c>
      <c r="G656" s="17" t="s">
        <v>1550</v>
      </c>
    </row>
    <row r="657" ht="20" customHeight="1" spans="1:7" x14ac:dyDescent="0.25">
      <c r="A657" s="35" t="s">
        <v>63</v>
      </c>
      <c r="B657" s="36">
        <v>31</v>
      </c>
      <c r="C657" s="35" t="s">
        <v>445</v>
      </c>
      <c r="D657" s="37">
        <v>20.9</v>
      </c>
      <c r="E657" s="36">
        <v>1252</v>
      </c>
      <c r="F657" s="35" t="s">
        <v>1520</v>
      </c>
      <c r="G657" s="35" t="s">
        <v>1551</v>
      </c>
    </row>
    <row r="658" ht="20" customHeight="1" spans="1:7" x14ac:dyDescent="0.25">
      <c r="A658" s="17" t="s">
        <v>63</v>
      </c>
      <c r="B658" s="33">
        <v>32</v>
      </c>
      <c r="C658" s="17" t="s">
        <v>446</v>
      </c>
      <c r="D658" s="18">
        <v>15</v>
      </c>
      <c r="E658" s="33">
        <v>900</v>
      </c>
      <c r="F658" s="17" t="s">
        <v>1520</v>
      </c>
      <c r="G658" s="17" t="s">
        <v>1552</v>
      </c>
    </row>
    <row r="659" ht="20" customHeight="1" spans="1:7" x14ac:dyDescent="0.25">
      <c r="A659" s="35" t="s">
        <v>63</v>
      </c>
      <c r="B659" s="36">
        <v>33</v>
      </c>
      <c r="C659" s="35" t="s">
        <v>470</v>
      </c>
      <c r="D659" s="37">
        <v>17.8</v>
      </c>
      <c r="E659" s="36">
        <v>1066</v>
      </c>
      <c r="F659" s="35" t="s">
        <v>1520</v>
      </c>
      <c r="G659" s="35" t="s">
        <v>1553</v>
      </c>
    </row>
    <row r="660" ht="20" customHeight="1" spans="1:7" x14ac:dyDescent="0.25">
      <c r="A660" s="17" t="s">
        <v>63</v>
      </c>
      <c r="B660" s="33">
        <v>34</v>
      </c>
      <c r="C660" s="17" t="s">
        <v>471</v>
      </c>
      <c r="D660" s="18">
        <v>9.6</v>
      </c>
      <c r="E660" s="33">
        <v>578</v>
      </c>
      <c r="F660" s="17" t="s">
        <v>1520</v>
      </c>
      <c r="G660" s="17" t="s">
        <v>1554</v>
      </c>
    </row>
    <row r="661" ht="20" customHeight="1" spans="1:7" x14ac:dyDescent="0.25">
      <c r="A661" s="35" t="s">
        <v>63</v>
      </c>
      <c r="B661" s="36">
        <v>35</v>
      </c>
      <c r="C661" s="35" t="s">
        <v>493</v>
      </c>
      <c r="D661" s="37">
        <v>24.8</v>
      </c>
      <c r="E661" s="36">
        <v>1485</v>
      </c>
      <c r="F661" s="35" t="s">
        <v>1520</v>
      </c>
      <c r="G661" s="35" t="s">
        <v>1555</v>
      </c>
    </row>
    <row r="662" ht="20" customHeight="1" spans="1:7" x14ac:dyDescent="0.25">
      <c r="A662" s="17" t="s">
        <v>63</v>
      </c>
      <c r="B662" s="33">
        <v>36</v>
      </c>
      <c r="C662" s="17" t="s">
        <v>494</v>
      </c>
      <c r="D662" s="18">
        <v>29.1</v>
      </c>
      <c r="E662" s="33">
        <v>1748</v>
      </c>
      <c r="F662" s="17" t="s">
        <v>1520</v>
      </c>
      <c r="G662" s="17" t="s">
        <v>1556</v>
      </c>
    </row>
    <row r="663" ht="20" customHeight="1" spans="1:7" x14ac:dyDescent="0.25">
      <c r="A663" s="35" t="s">
        <v>63</v>
      </c>
      <c r="B663" s="36">
        <v>37</v>
      </c>
      <c r="C663" s="35" t="s">
        <v>516</v>
      </c>
      <c r="D663" s="37">
        <v>28.4</v>
      </c>
      <c r="E663" s="36">
        <v>1702</v>
      </c>
      <c r="F663" s="35" t="s">
        <v>1520</v>
      </c>
      <c r="G663" s="35" t="s">
        <v>1557</v>
      </c>
    </row>
    <row r="664" ht="20" customHeight="1" spans="1:7" x14ac:dyDescent="0.25">
      <c r="A664" s="17" t="s">
        <v>63</v>
      </c>
      <c r="B664" s="33">
        <v>38</v>
      </c>
      <c r="C664" s="17" t="s">
        <v>517</v>
      </c>
      <c r="D664" s="18">
        <v>21.8</v>
      </c>
      <c r="E664" s="33">
        <v>1306</v>
      </c>
      <c r="F664" s="17" t="s">
        <v>1520</v>
      </c>
      <c r="G664" s="17" t="s">
        <v>1558</v>
      </c>
    </row>
    <row r="665" ht="20" customHeight="1" spans="1:7" x14ac:dyDescent="0.25">
      <c r="A665" s="35" t="s">
        <v>63</v>
      </c>
      <c r="B665" s="36">
        <v>39</v>
      </c>
      <c r="C665" s="35" t="s">
        <v>539</v>
      </c>
      <c r="D665" s="37">
        <v>36.8</v>
      </c>
      <c r="E665" s="36">
        <v>2208</v>
      </c>
      <c r="F665" s="35" t="s">
        <v>1520</v>
      </c>
      <c r="G665" s="35" t="s">
        <v>1559</v>
      </c>
    </row>
    <row r="666" ht="20" customHeight="1" spans="1:7" x14ac:dyDescent="0.25">
      <c r="A666" s="17" t="s">
        <v>63</v>
      </c>
      <c r="B666" s="33">
        <v>40</v>
      </c>
      <c r="C666" s="17" t="s">
        <v>540</v>
      </c>
      <c r="D666" s="18">
        <v>22.4</v>
      </c>
      <c r="E666" s="33">
        <v>1347</v>
      </c>
      <c r="F666" s="17" t="s">
        <v>1520</v>
      </c>
      <c r="G666" s="17" t="s">
        <v>1560</v>
      </c>
    </row>
    <row r="667" ht="20" customHeight="1" spans="1:7" x14ac:dyDescent="0.25">
      <c r="A667" s="35" t="s">
        <v>63</v>
      </c>
      <c r="B667" s="36">
        <v>41</v>
      </c>
      <c r="C667" s="35" t="s">
        <v>560</v>
      </c>
      <c r="D667" s="37">
        <v>36.7</v>
      </c>
      <c r="E667" s="36">
        <v>2203</v>
      </c>
      <c r="F667" s="35" t="s">
        <v>1520</v>
      </c>
      <c r="G667" s="35" t="s">
        <v>1561</v>
      </c>
    </row>
    <row r="668" ht="20" customHeight="1" spans="1:7" x14ac:dyDescent="0.25">
      <c r="A668" s="17" t="s">
        <v>63</v>
      </c>
      <c r="B668" s="33">
        <v>42</v>
      </c>
      <c r="C668" s="17" t="s">
        <v>561</v>
      </c>
      <c r="D668" s="18">
        <v>30.7</v>
      </c>
      <c r="E668" s="33">
        <v>1843</v>
      </c>
      <c r="F668" s="17" t="s">
        <v>1520</v>
      </c>
      <c r="G668" s="17" t="s">
        <v>1562</v>
      </c>
    </row>
    <row r="669" ht="20" customHeight="1" spans="1:7" x14ac:dyDescent="0.25">
      <c r="A669" s="35" t="s">
        <v>63</v>
      </c>
      <c r="B669" s="36">
        <v>43</v>
      </c>
      <c r="C669" s="35" t="s">
        <v>580</v>
      </c>
      <c r="D669" s="37">
        <v>15.5</v>
      </c>
      <c r="E669" s="36">
        <v>929</v>
      </c>
      <c r="F669" s="35" t="s">
        <v>1520</v>
      </c>
      <c r="G669" s="35" t="s">
        <v>1563</v>
      </c>
    </row>
    <row r="670" ht="20" customHeight="1" spans="1:7" x14ac:dyDescent="0.25">
      <c r="A670" s="17" t="s">
        <v>63</v>
      </c>
      <c r="B670" s="33">
        <v>44</v>
      </c>
      <c r="C670" s="17" t="s">
        <v>581</v>
      </c>
      <c r="D670" s="18">
        <v>29.6</v>
      </c>
      <c r="E670" s="33">
        <v>1775</v>
      </c>
      <c r="F670" s="17" t="s">
        <v>1520</v>
      </c>
      <c r="G670" s="17" t="s">
        <v>1564</v>
      </c>
    </row>
    <row r="671" ht="20" customHeight="1" spans="1:7" x14ac:dyDescent="0.25">
      <c r="A671" s="35" t="s">
        <v>63</v>
      </c>
      <c r="B671" s="36">
        <v>45</v>
      </c>
      <c r="C671" s="35" t="s">
        <v>599</v>
      </c>
      <c r="D671" s="37">
        <v>43</v>
      </c>
      <c r="E671" s="36">
        <v>2583</v>
      </c>
      <c r="F671" s="35" t="s">
        <v>1520</v>
      </c>
      <c r="G671" s="35" t="s">
        <v>1565</v>
      </c>
    </row>
    <row r="672" ht="20" customHeight="1" spans="1:7" x14ac:dyDescent="0.25">
      <c r="A672" s="17" t="s">
        <v>63</v>
      </c>
      <c r="B672" s="33">
        <v>46</v>
      </c>
      <c r="C672" s="17" t="s">
        <v>600</v>
      </c>
      <c r="D672" s="18">
        <v>16</v>
      </c>
      <c r="E672" s="33">
        <v>962</v>
      </c>
      <c r="F672" s="17" t="s">
        <v>1520</v>
      </c>
      <c r="G672" s="17" t="s">
        <v>1566</v>
      </c>
    </row>
    <row r="673" ht="20" customHeight="1" spans="1:7" x14ac:dyDescent="0.25">
      <c r="A673" s="35" t="s">
        <v>63</v>
      </c>
      <c r="B673" s="36">
        <v>47</v>
      </c>
      <c r="C673" s="35" t="s">
        <v>618</v>
      </c>
      <c r="D673" s="37">
        <v>45.8</v>
      </c>
      <c r="E673" s="36">
        <v>2749</v>
      </c>
      <c r="F673" s="35" t="s">
        <v>1520</v>
      </c>
      <c r="G673" s="35" t="s">
        <v>1567</v>
      </c>
    </row>
    <row r="674" ht="20" customHeight="1" spans="1:7" x14ac:dyDescent="0.25">
      <c r="A674" s="17" t="s">
        <v>63</v>
      </c>
      <c r="B674" s="33">
        <v>48</v>
      </c>
      <c r="C674" s="17" t="s">
        <v>619</v>
      </c>
      <c r="D674" s="18">
        <v>32.3</v>
      </c>
      <c r="E674" s="33">
        <v>1940</v>
      </c>
      <c r="F674" s="17" t="s">
        <v>1520</v>
      </c>
      <c r="G674" s="17" t="s">
        <v>1568</v>
      </c>
    </row>
    <row r="675" ht="20" customHeight="1" spans="1:7" x14ac:dyDescent="0.25">
      <c r="A675" s="35" t="s">
        <v>63</v>
      </c>
      <c r="B675" s="36">
        <v>49</v>
      </c>
      <c r="C675" s="35" t="s">
        <v>637</v>
      </c>
      <c r="D675" s="37">
        <v>36.8</v>
      </c>
      <c r="E675" s="36">
        <v>2210</v>
      </c>
      <c r="F675" s="35" t="s">
        <v>1520</v>
      </c>
      <c r="G675" s="35" t="s">
        <v>1569</v>
      </c>
    </row>
    <row r="676" ht="20" customHeight="1" spans="1:7" x14ac:dyDescent="0.25">
      <c r="A676" s="17" t="s">
        <v>63</v>
      </c>
      <c r="B676" s="33">
        <v>50</v>
      </c>
      <c r="C676" s="17" t="s">
        <v>638</v>
      </c>
      <c r="D676" s="18">
        <v>11.8</v>
      </c>
      <c r="E676" s="33">
        <v>711</v>
      </c>
      <c r="F676" s="17" t="s">
        <v>1520</v>
      </c>
      <c r="G676" s="17" t="s">
        <v>1570</v>
      </c>
    </row>
    <row r="677" ht="20" customHeight="1" spans="1:7" x14ac:dyDescent="0.25">
      <c r="A677" s="35" t="s">
        <v>63</v>
      </c>
      <c r="B677" s="36">
        <v>51</v>
      </c>
      <c r="C677" s="35" t="s">
        <v>656</v>
      </c>
      <c r="D677" s="37">
        <v>13.5</v>
      </c>
      <c r="E677" s="36">
        <v>808</v>
      </c>
      <c r="F677" s="35" t="s">
        <v>1520</v>
      </c>
      <c r="G677" s="35" t="s">
        <v>1571</v>
      </c>
    </row>
    <row r="678" ht="20" customHeight="1" spans="1:7" x14ac:dyDescent="0.25">
      <c r="A678" s="17" t="s">
        <v>63</v>
      </c>
      <c r="B678" s="33">
        <v>52</v>
      </c>
      <c r="C678" s="17" t="s">
        <v>657</v>
      </c>
      <c r="D678" s="18">
        <v>28.5</v>
      </c>
      <c r="E678" s="33">
        <v>1711</v>
      </c>
      <c r="F678" s="17" t="s">
        <v>1520</v>
      </c>
      <c r="G678" s="17" t="s">
        <v>1572</v>
      </c>
    </row>
    <row r="679" ht="20" customHeight="1" spans="1:7" x14ac:dyDescent="0.25">
      <c r="A679" s="35" t="s">
        <v>63</v>
      </c>
      <c r="B679" s="36">
        <v>53</v>
      </c>
      <c r="C679" s="35" t="s">
        <v>675</v>
      </c>
      <c r="D679" s="37">
        <v>22.7</v>
      </c>
      <c r="E679" s="36">
        <v>1362</v>
      </c>
      <c r="F679" s="35" t="s">
        <v>1520</v>
      </c>
      <c r="G679" s="35" t="s">
        <v>1573</v>
      </c>
    </row>
    <row r="680" ht="20" customHeight="1" spans="1:7" x14ac:dyDescent="0.25">
      <c r="A680" s="17" t="s">
        <v>63</v>
      </c>
      <c r="B680" s="33">
        <v>54</v>
      </c>
      <c r="C680" s="17" t="s">
        <v>676</v>
      </c>
      <c r="D680" s="18">
        <v>34.6</v>
      </c>
      <c r="E680" s="33">
        <v>2079</v>
      </c>
      <c r="F680" s="17" t="s">
        <v>1520</v>
      </c>
      <c r="G680" s="17" t="s">
        <v>1574</v>
      </c>
    </row>
    <row r="681" ht="20" customHeight="1" spans="1:7" x14ac:dyDescent="0.25">
      <c r="A681" s="35" t="s">
        <v>63</v>
      </c>
      <c r="B681" s="36">
        <v>55</v>
      </c>
      <c r="C681" s="35" t="s">
        <v>694</v>
      </c>
      <c r="D681" s="37">
        <v>23.8</v>
      </c>
      <c r="E681" s="36">
        <v>1426</v>
      </c>
      <c r="F681" s="35" t="s">
        <v>1520</v>
      </c>
      <c r="G681" s="35" t="s">
        <v>1575</v>
      </c>
    </row>
    <row r="682" ht="20" customHeight="1" spans="1:7" x14ac:dyDescent="0.25">
      <c r="A682" s="17" t="s">
        <v>63</v>
      </c>
      <c r="B682" s="33">
        <v>56</v>
      </c>
      <c r="C682" s="17" t="s">
        <v>695</v>
      </c>
      <c r="D682" s="18">
        <v>32.5</v>
      </c>
      <c r="E682" s="33">
        <v>1950</v>
      </c>
      <c r="F682" s="17" t="s">
        <v>1520</v>
      </c>
      <c r="G682" s="17" t="s">
        <v>1576</v>
      </c>
    </row>
    <row r="683" ht="20" customHeight="1" spans="1:7" x14ac:dyDescent="0.25">
      <c r="A683" s="35" t="s">
        <v>63</v>
      </c>
      <c r="B683" s="36">
        <v>57</v>
      </c>
      <c r="C683" s="35" t="s">
        <v>713</v>
      </c>
      <c r="D683" s="37">
        <v>20.9</v>
      </c>
      <c r="E683" s="36">
        <v>1257</v>
      </c>
      <c r="F683" s="35" t="s">
        <v>1520</v>
      </c>
      <c r="G683" s="35" t="s">
        <v>1577</v>
      </c>
    </row>
    <row r="684" ht="20" customHeight="1" spans="1:7" x14ac:dyDescent="0.25">
      <c r="A684" s="17" t="s">
        <v>63</v>
      </c>
      <c r="B684" s="33">
        <v>58</v>
      </c>
      <c r="C684" s="17" t="s">
        <v>714</v>
      </c>
      <c r="D684" s="18">
        <v>15.6</v>
      </c>
      <c r="E684" s="33">
        <v>938</v>
      </c>
      <c r="F684" s="17" t="s">
        <v>1520</v>
      </c>
      <c r="G684" s="17" t="s">
        <v>1578</v>
      </c>
    </row>
    <row r="685" ht="20" customHeight="1" spans="1:7" x14ac:dyDescent="0.25">
      <c r="A685" s="35" t="s">
        <v>63</v>
      </c>
      <c r="B685" s="36">
        <v>59</v>
      </c>
      <c r="C685" s="35" t="s">
        <v>730</v>
      </c>
      <c r="D685" s="37">
        <v>19.6</v>
      </c>
      <c r="E685" s="36">
        <v>1177</v>
      </c>
      <c r="F685" s="35" t="s">
        <v>1520</v>
      </c>
      <c r="G685" s="35" t="s">
        <v>1579</v>
      </c>
    </row>
    <row r="686" ht="20" customHeight="1" spans="1:7" x14ac:dyDescent="0.25">
      <c r="A686" s="17" t="s">
        <v>63</v>
      </c>
      <c r="B686" s="33">
        <v>60</v>
      </c>
      <c r="C686" s="17" t="s">
        <v>731</v>
      </c>
      <c r="D686" s="18">
        <v>25.8</v>
      </c>
      <c r="E686" s="33">
        <v>1545</v>
      </c>
      <c r="F686" s="17" t="s">
        <v>1520</v>
      </c>
      <c r="G686" s="17" t="s">
        <v>1580</v>
      </c>
    </row>
    <row r="687" ht="20" customHeight="1" spans="1:7" x14ac:dyDescent="0.25">
      <c r="A687" s="35" t="s">
        <v>63</v>
      </c>
      <c r="B687" s="36">
        <v>61</v>
      </c>
      <c r="C687" s="35" t="s">
        <v>743</v>
      </c>
      <c r="D687" s="37">
        <v>29.1</v>
      </c>
      <c r="E687" s="36">
        <v>1748</v>
      </c>
      <c r="F687" s="35" t="s">
        <v>1520</v>
      </c>
      <c r="G687" s="35" t="s">
        <v>1581</v>
      </c>
    </row>
    <row r="688" ht="20" customHeight="1" spans="1:7" x14ac:dyDescent="0.25">
      <c r="A688" s="17" t="s">
        <v>63</v>
      </c>
      <c r="B688" s="33">
        <v>62</v>
      </c>
      <c r="C688" s="17" t="s">
        <v>744</v>
      </c>
      <c r="D688" s="18">
        <v>13.3</v>
      </c>
      <c r="E688" s="33">
        <v>801</v>
      </c>
      <c r="F688" s="17" t="s">
        <v>1520</v>
      </c>
      <c r="G688" s="17" t="s">
        <v>1582</v>
      </c>
    </row>
    <row r="689" ht="20" customHeight="1" spans="1:7" x14ac:dyDescent="0.25">
      <c r="A689" s="35" t="s">
        <v>63</v>
      </c>
      <c r="B689" s="36">
        <v>63</v>
      </c>
      <c r="C689" s="35" t="s">
        <v>756</v>
      </c>
      <c r="D689" s="37">
        <v>17.9</v>
      </c>
      <c r="E689" s="36">
        <v>1074</v>
      </c>
      <c r="F689" s="35" t="s">
        <v>1520</v>
      </c>
      <c r="G689" s="35" t="s">
        <v>1583</v>
      </c>
    </row>
    <row r="690" ht="20" customHeight="1" spans="1:7" x14ac:dyDescent="0.25">
      <c r="A690" s="17" t="s">
        <v>63</v>
      </c>
      <c r="B690" s="33">
        <v>64</v>
      </c>
      <c r="C690" s="17" t="s">
        <v>757</v>
      </c>
      <c r="D690" s="18">
        <v>24.2</v>
      </c>
      <c r="E690" s="33">
        <v>1450</v>
      </c>
      <c r="F690" s="17" t="s">
        <v>1520</v>
      </c>
      <c r="G690" s="17" t="s">
        <v>1584</v>
      </c>
    </row>
    <row r="691" ht="20" customHeight="1" spans="1:7" x14ac:dyDescent="0.25">
      <c r="A691" s="35" t="s">
        <v>63</v>
      </c>
      <c r="B691" s="36">
        <v>65</v>
      </c>
      <c r="C691" s="35" t="s">
        <v>769</v>
      </c>
      <c r="D691" s="37">
        <v>19.9</v>
      </c>
      <c r="E691" s="36">
        <v>1193</v>
      </c>
      <c r="F691" s="35" t="s">
        <v>1520</v>
      </c>
      <c r="G691" s="35" t="s">
        <v>1585</v>
      </c>
    </row>
    <row r="692" ht="20" customHeight="1" spans="1:7" x14ac:dyDescent="0.25">
      <c r="A692" s="17" t="s">
        <v>63</v>
      </c>
      <c r="B692" s="33">
        <v>66</v>
      </c>
      <c r="C692" s="17" t="s">
        <v>770</v>
      </c>
      <c r="D692" s="18">
        <v>24.4</v>
      </c>
      <c r="E692" s="33">
        <v>1464</v>
      </c>
      <c r="F692" s="17" t="s">
        <v>1520</v>
      </c>
      <c r="G692" s="17" t="s">
        <v>1586</v>
      </c>
    </row>
    <row r="693" ht="20" customHeight="1" spans="1:7" x14ac:dyDescent="0.25">
      <c r="A693" s="35" t="s">
        <v>63</v>
      </c>
      <c r="B693" s="36">
        <v>67</v>
      </c>
      <c r="C693" s="35" t="s">
        <v>782</v>
      </c>
      <c r="D693" s="37">
        <v>26.2</v>
      </c>
      <c r="E693" s="36">
        <v>1575</v>
      </c>
      <c r="F693" s="35" t="s">
        <v>1520</v>
      </c>
      <c r="G693" s="35" t="s">
        <v>1587</v>
      </c>
    </row>
    <row r="694" ht="20" customHeight="1" spans="1:7" x14ac:dyDescent="0.25">
      <c r="A694" s="17" t="s">
        <v>63</v>
      </c>
      <c r="B694" s="33">
        <v>68</v>
      </c>
      <c r="C694" s="17" t="s">
        <v>783</v>
      </c>
      <c r="D694" s="18">
        <v>25.9</v>
      </c>
      <c r="E694" s="33">
        <v>1553</v>
      </c>
      <c r="F694" s="17" t="s">
        <v>1520</v>
      </c>
      <c r="G694" s="17" t="s">
        <v>1588</v>
      </c>
    </row>
    <row r="695" ht="20" customHeight="1" spans="1:7" x14ac:dyDescent="0.25">
      <c r="A695" s="35" t="s">
        <v>63</v>
      </c>
      <c r="B695" s="36">
        <v>69</v>
      </c>
      <c r="C695" s="35" t="s">
        <v>795</v>
      </c>
      <c r="D695" s="37">
        <v>29.8</v>
      </c>
      <c r="E695" s="36">
        <v>1786</v>
      </c>
      <c r="F695" s="35" t="s">
        <v>1520</v>
      </c>
      <c r="G695" s="35" t="s">
        <v>1589</v>
      </c>
    </row>
    <row r="696" ht="20" customHeight="1" spans="1:7" x14ac:dyDescent="0.25">
      <c r="A696" s="17" t="s">
        <v>63</v>
      </c>
      <c r="B696" s="33">
        <v>70</v>
      </c>
      <c r="C696" s="17" t="s">
        <v>796</v>
      </c>
      <c r="D696" s="18">
        <v>12.8</v>
      </c>
      <c r="E696" s="33">
        <v>765</v>
      </c>
      <c r="F696" s="17" t="s">
        <v>1520</v>
      </c>
      <c r="G696" s="17" t="s">
        <v>1590</v>
      </c>
    </row>
    <row r="697" ht="20" customHeight="1" spans="1:7" x14ac:dyDescent="0.25">
      <c r="A697" s="35" t="s">
        <v>63</v>
      </c>
      <c r="B697" s="36">
        <v>71</v>
      </c>
      <c r="C697" s="35" t="s">
        <v>807</v>
      </c>
      <c r="D697" s="37">
        <v>7.8</v>
      </c>
      <c r="E697" s="36">
        <v>470</v>
      </c>
      <c r="F697" s="35" t="s">
        <v>1520</v>
      </c>
      <c r="G697" s="35" t="s">
        <v>1591</v>
      </c>
    </row>
    <row r="698" ht="20" customHeight="1" spans="1:7" x14ac:dyDescent="0.25">
      <c r="A698" s="17" t="s">
        <v>63</v>
      </c>
      <c r="B698" s="33">
        <v>72</v>
      </c>
      <c r="C698" s="17" t="s">
        <v>808</v>
      </c>
      <c r="D698" s="18">
        <v>17.8</v>
      </c>
      <c r="E698" s="33">
        <v>1069</v>
      </c>
      <c r="F698" s="17" t="s">
        <v>1520</v>
      </c>
      <c r="G698" s="17" t="s">
        <v>1592</v>
      </c>
    </row>
    <row r="699" ht="20" customHeight="1" spans="1:7" x14ac:dyDescent="0.25">
      <c r="A699" s="35" t="s">
        <v>63</v>
      </c>
      <c r="B699" s="36">
        <v>73</v>
      </c>
      <c r="C699" s="35" t="s">
        <v>818</v>
      </c>
      <c r="D699" s="37">
        <v>10.1</v>
      </c>
      <c r="E699" s="36">
        <v>605</v>
      </c>
      <c r="F699" s="35" t="s">
        <v>1520</v>
      </c>
      <c r="G699" s="35" t="s">
        <v>1593</v>
      </c>
    </row>
    <row r="700" ht="20" customHeight="1" spans="1:7" x14ac:dyDescent="0.25">
      <c r="A700" s="17" t="s">
        <v>63</v>
      </c>
      <c r="B700" s="33">
        <v>74</v>
      </c>
      <c r="C700" s="17" t="s">
        <v>819</v>
      </c>
      <c r="D700" s="18">
        <v>38.8</v>
      </c>
      <c r="E700" s="33">
        <v>2325</v>
      </c>
      <c r="F700" s="17" t="s">
        <v>1520</v>
      </c>
      <c r="G700" s="17" t="s">
        <v>1594</v>
      </c>
    </row>
    <row r="701" ht="20" customHeight="1" spans="1:7" x14ac:dyDescent="0.25">
      <c r="A701" s="35" t="s">
        <v>63</v>
      </c>
      <c r="B701" s="36">
        <v>75</v>
      </c>
      <c r="C701" s="35" t="s">
        <v>829</v>
      </c>
      <c r="D701" s="37">
        <v>12.7</v>
      </c>
      <c r="E701" s="36">
        <v>761</v>
      </c>
      <c r="F701" s="35" t="s">
        <v>1520</v>
      </c>
      <c r="G701" s="35" t="s">
        <v>1595</v>
      </c>
    </row>
    <row r="702" ht="20" customHeight="1" spans="1:7" x14ac:dyDescent="0.25">
      <c r="A702" s="17" t="s">
        <v>63</v>
      </c>
      <c r="B702" s="33">
        <v>76</v>
      </c>
      <c r="C702" s="17" t="s">
        <v>830</v>
      </c>
      <c r="D702" s="18">
        <v>18.2</v>
      </c>
      <c r="E702" s="33">
        <v>1093</v>
      </c>
      <c r="F702" s="17" t="s">
        <v>1520</v>
      </c>
      <c r="G702" s="17" t="s">
        <v>1596</v>
      </c>
    </row>
    <row r="703" ht="20" customHeight="1" spans="1:7" x14ac:dyDescent="0.25">
      <c r="A703" s="35" t="s">
        <v>63</v>
      </c>
      <c r="B703" s="36">
        <v>77</v>
      </c>
      <c r="C703" s="35" t="s">
        <v>840</v>
      </c>
      <c r="D703" s="37">
        <v>7.8</v>
      </c>
      <c r="E703" s="36">
        <v>468</v>
      </c>
      <c r="F703" s="35" t="s">
        <v>1520</v>
      </c>
      <c r="G703" s="35" t="s">
        <v>1597</v>
      </c>
    </row>
    <row r="704" ht="20" customHeight="1" spans="1:7" x14ac:dyDescent="0.25">
      <c r="A704" s="17" t="s">
        <v>63</v>
      </c>
      <c r="B704" s="33">
        <v>78</v>
      </c>
      <c r="C704" s="17" t="s">
        <v>841</v>
      </c>
      <c r="D704" s="18">
        <v>24.1</v>
      </c>
      <c r="E704" s="33">
        <v>1445</v>
      </c>
      <c r="F704" s="17" t="s">
        <v>1520</v>
      </c>
      <c r="G704" s="17" t="s">
        <v>1598</v>
      </c>
    </row>
    <row r="705" ht="20" customHeight="1" spans="1:7" x14ac:dyDescent="0.25">
      <c r="A705" s="35" t="s">
        <v>63</v>
      </c>
      <c r="B705" s="36">
        <v>79</v>
      </c>
      <c r="C705" s="35" t="s">
        <v>849</v>
      </c>
      <c r="D705" s="37">
        <v>8.1</v>
      </c>
      <c r="E705" s="36">
        <v>485</v>
      </c>
      <c r="F705" s="35" t="s">
        <v>1520</v>
      </c>
      <c r="G705" s="35" t="s">
        <v>1599</v>
      </c>
    </row>
    <row r="706" ht="20" customHeight="1" spans="1:7" x14ac:dyDescent="0.25">
      <c r="A706" s="17" t="s">
        <v>56</v>
      </c>
      <c r="B706" s="33">
        <v>1</v>
      </c>
      <c r="C706" s="17" t="s">
        <v>57</v>
      </c>
      <c r="D706" s="18">
        <v>25.6</v>
      </c>
      <c r="E706" s="33">
        <v>1536</v>
      </c>
      <c r="F706" s="17" t="s">
        <v>1600</v>
      </c>
      <c r="G706" s="17" t="s">
        <v>1601</v>
      </c>
    </row>
    <row r="707" ht="20" customHeight="1" spans="1:7" x14ac:dyDescent="0.25">
      <c r="A707" s="35" t="s">
        <v>56</v>
      </c>
      <c r="B707" s="36">
        <v>2</v>
      </c>
      <c r="C707" s="35" t="s">
        <v>59</v>
      </c>
      <c r="D707" s="37">
        <v>17.6</v>
      </c>
      <c r="E707" s="36">
        <v>1058</v>
      </c>
      <c r="F707" s="35" t="s">
        <v>1600</v>
      </c>
      <c r="G707" s="35" t="s">
        <v>1602</v>
      </c>
    </row>
    <row r="708" ht="20" customHeight="1" spans="1:7" x14ac:dyDescent="0.25">
      <c r="A708" s="17" t="s">
        <v>56</v>
      </c>
      <c r="B708" s="33">
        <v>3</v>
      </c>
      <c r="C708" s="17" t="s">
        <v>72</v>
      </c>
      <c r="D708" s="18">
        <v>24.7</v>
      </c>
      <c r="E708" s="33">
        <v>1482</v>
      </c>
      <c r="F708" s="17" t="s">
        <v>1600</v>
      </c>
      <c r="G708" s="17" t="s">
        <v>1603</v>
      </c>
    </row>
    <row r="709" ht="20" customHeight="1" spans="1:7" x14ac:dyDescent="0.25">
      <c r="A709" s="35" t="s">
        <v>56</v>
      </c>
      <c r="B709" s="36">
        <v>4</v>
      </c>
      <c r="C709" s="35" t="s">
        <v>73</v>
      </c>
      <c r="D709" s="37">
        <v>18.9</v>
      </c>
      <c r="E709" s="36">
        <v>1132</v>
      </c>
      <c r="F709" s="35" t="s">
        <v>1600</v>
      </c>
      <c r="G709" s="35" t="s">
        <v>1604</v>
      </c>
    </row>
    <row r="710" ht="20" customHeight="1" spans="1:7" x14ac:dyDescent="0.25">
      <c r="A710" s="17" t="s">
        <v>56</v>
      </c>
      <c r="B710" s="33">
        <v>5</v>
      </c>
      <c r="C710" s="17" t="s">
        <v>91</v>
      </c>
      <c r="D710" s="18">
        <v>48.6</v>
      </c>
      <c r="E710" s="33">
        <v>2915</v>
      </c>
      <c r="F710" s="17" t="s">
        <v>1600</v>
      </c>
      <c r="G710" s="17" t="s">
        <v>1605</v>
      </c>
    </row>
    <row r="711" ht="20" customHeight="1" spans="1:7" x14ac:dyDescent="0.25">
      <c r="A711" s="35" t="s">
        <v>56</v>
      </c>
      <c r="B711" s="36">
        <v>6</v>
      </c>
      <c r="C711" s="35" t="s">
        <v>92</v>
      </c>
      <c r="D711" s="37">
        <v>31.3</v>
      </c>
      <c r="E711" s="36">
        <v>1877</v>
      </c>
      <c r="F711" s="35" t="s">
        <v>1600</v>
      </c>
      <c r="G711" s="35" t="s">
        <v>1606</v>
      </c>
    </row>
    <row r="712" ht="20" customHeight="1" spans="1:7" x14ac:dyDescent="0.25">
      <c r="A712" s="17" t="s">
        <v>56</v>
      </c>
      <c r="B712" s="33">
        <v>7</v>
      </c>
      <c r="C712" s="17" t="s">
        <v>99</v>
      </c>
      <c r="D712" s="18">
        <v>31.1</v>
      </c>
      <c r="E712" s="33">
        <v>1869</v>
      </c>
      <c r="F712" s="17" t="s">
        <v>1600</v>
      </c>
      <c r="G712" s="17" t="s">
        <v>1607</v>
      </c>
    </row>
    <row r="713" ht="20" customHeight="1" spans="1:7" x14ac:dyDescent="0.25">
      <c r="A713" s="35" t="s">
        <v>56</v>
      </c>
      <c r="B713" s="36">
        <v>8</v>
      </c>
      <c r="C713" s="35" t="s">
        <v>100</v>
      </c>
      <c r="D713" s="37">
        <v>29.6</v>
      </c>
      <c r="E713" s="36">
        <v>1779</v>
      </c>
      <c r="F713" s="35" t="s">
        <v>1600</v>
      </c>
      <c r="G713" s="35" t="s">
        <v>1608</v>
      </c>
    </row>
    <row r="714" ht="20" customHeight="1" spans="1:7" x14ac:dyDescent="0.25">
      <c r="A714" s="17" t="s">
        <v>56</v>
      </c>
      <c r="B714" s="33">
        <v>9</v>
      </c>
      <c r="C714" s="17" t="s">
        <v>116</v>
      </c>
      <c r="D714" s="18">
        <v>25.8</v>
      </c>
      <c r="E714" s="33">
        <v>1546</v>
      </c>
      <c r="F714" s="17" t="s">
        <v>1600</v>
      </c>
      <c r="G714" s="17" t="s">
        <v>1609</v>
      </c>
    </row>
    <row r="715" ht="20" customHeight="1" spans="1:7" x14ac:dyDescent="0.25">
      <c r="A715" s="35" t="s">
        <v>56</v>
      </c>
      <c r="B715" s="36">
        <v>10</v>
      </c>
      <c r="C715" s="35" t="s">
        <v>117</v>
      </c>
      <c r="D715" s="37">
        <v>22</v>
      </c>
      <c r="E715" s="36">
        <v>1318</v>
      </c>
      <c r="F715" s="35" t="s">
        <v>1600</v>
      </c>
      <c r="G715" s="35" t="s">
        <v>1610</v>
      </c>
    </row>
    <row r="716" ht="20" customHeight="1" spans="1:7" x14ac:dyDescent="0.25">
      <c r="A716" s="17" t="s">
        <v>56</v>
      </c>
      <c r="B716" s="33">
        <v>11</v>
      </c>
      <c r="C716" s="17" t="s">
        <v>124</v>
      </c>
      <c r="D716" s="18">
        <v>34.5</v>
      </c>
      <c r="E716" s="33">
        <v>2072</v>
      </c>
      <c r="F716" s="17" t="s">
        <v>1600</v>
      </c>
      <c r="G716" s="17" t="s">
        <v>1611</v>
      </c>
    </row>
    <row r="717" ht="20" customHeight="1" spans="1:7" x14ac:dyDescent="0.25">
      <c r="A717" s="35" t="s">
        <v>56</v>
      </c>
      <c r="B717" s="36">
        <v>12</v>
      </c>
      <c r="C717" s="35" t="s">
        <v>125</v>
      </c>
      <c r="D717" s="37">
        <v>19.2</v>
      </c>
      <c r="E717" s="36">
        <v>1154</v>
      </c>
      <c r="F717" s="35" t="s">
        <v>1600</v>
      </c>
      <c r="G717" s="35" t="s">
        <v>1612</v>
      </c>
    </row>
    <row r="718" ht="20" customHeight="1" spans="1:7" x14ac:dyDescent="0.25">
      <c r="A718" s="17" t="s">
        <v>56</v>
      </c>
      <c r="B718" s="33">
        <v>13</v>
      </c>
      <c r="C718" s="17" t="s">
        <v>141</v>
      </c>
      <c r="D718" s="18">
        <v>17.9</v>
      </c>
      <c r="E718" s="33">
        <v>1075</v>
      </c>
      <c r="F718" s="17" t="s">
        <v>1600</v>
      </c>
      <c r="G718" s="17" t="s">
        <v>1613</v>
      </c>
    </row>
    <row r="719" ht="20" customHeight="1" spans="1:7" x14ac:dyDescent="0.25">
      <c r="A719" s="35" t="s">
        <v>56</v>
      </c>
      <c r="B719" s="36">
        <v>14</v>
      </c>
      <c r="C719" s="35" t="s">
        <v>142</v>
      </c>
      <c r="D719" s="37">
        <v>49.1</v>
      </c>
      <c r="E719" s="36">
        <v>2948</v>
      </c>
      <c r="F719" s="35" t="s">
        <v>1600</v>
      </c>
      <c r="G719" s="35" t="s">
        <v>1614</v>
      </c>
    </row>
    <row r="720" ht="20" customHeight="1" spans="1:7" x14ac:dyDescent="0.25">
      <c r="A720" s="17" t="s">
        <v>56</v>
      </c>
      <c r="B720" s="33">
        <v>15</v>
      </c>
      <c r="C720" s="17" t="s">
        <v>149</v>
      </c>
      <c r="D720" s="18">
        <v>48.9</v>
      </c>
      <c r="E720" s="33">
        <v>2935</v>
      </c>
      <c r="F720" s="17" t="s">
        <v>1600</v>
      </c>
      <c r="G720" s="17" t="s">
        <v>1615</v>
      </c>
    </row>
    <row r="721" ht="20" customHeight="1" spans="1:7" x14ac:dyDescent="0.25">
      <c r="A721" s="35" t="s">
        <v>56</v>
      </c>
      <c r="B721" s="36">
        <v>16</v>
      </c>
      <c r="C721" s="35" t="s">
        <v>150</v>
      </c>
      <c r="D721" s="37">
        <v>17.9</v>
      </c>
      <c r="E721" s="36">
        <v>1074</v>
      </c>
      <c r="F721" s="35" t="s">
        <v>1600</v>
      </c>
      <c r="G721" s="35" t="s">
        <v>1616</v>
      </c>
    </row>
    <row r="722" ht="20" customHeight="1" spans="1:7" x14ac:dyDescent="0.25">
      <c r="A722" s="17" t="s">
        <v>56</v>
      </c>
      <c r="B722" s="33">
        <v>17</v>
      </c>
      <c r="C722" s="17" t="s">
        <v>166</v>
      </c>
      <c r="D722" s="18">
        <v>31.4</v>
      </c>
      <c r="E722" s="33">
        <v>1881</v>
      </c>
      <c r="F722" s="17" t="s">
        <v>1600</v>
      </c>
      <c r="G722" s="17" t="s">
        <v>1617</v>
      </c>
    </row>
    <row r="723" ht="20" customHeight="1" spans="1:7" x14ac:dyDescent="0.25">
      <c r="A723" s="35" t="s">
        <v>56</v>
      </c>
      <c r="B723" s="36">
        <v>18</v>
      </c>
      <c r="C723" s="35" t="s">
        <v>167</v>
      </c>
      <c r="D723" s="37">
        <v>24.9</v>
      </c>
      <c r="E723" s="36">
        <v>1493</v>
      </c>
      <c r="F723" s="35" t="s">
        <v>1600</v>
      </c>
      <c r="G723" s="35" t="s">
        <v>1618</v>
      </c>
    </row>
    <row r="724" ht="20" customHeight="1" spans="1:7" x14ac:dyDescent="0.25">
      <c r="A724" s="17" t="s">
        <v>56</v>
      </c>
      <c r="B724" s="33">
        <v>19</v>
      </c>
      <c r="C724" s="17" t="s">
        <v>174</v>
      </c>
      <c r="D724" s="18">
        <v>13.6</v>
      </c>
      <c r="E724" s="33">
        <v>814</v>
      </c>
      <c r="F724" s="17" t="s">
        <v>1600</v>
      </c>
      <c r="G724" s="17" t="s">
        <v>1619</v>
      </c>
    </row>
    <row r="725" ht="20" customHeight="1" spans="1:7" x14ac:dyDescent="0.25">
      <c r="A725" s="35" t="s">
        <v>56</v>
      </c>
      <c r="B725" s="36">
        <v>20</v>
      </c>
      <c r="C725" s="35" t="s">
        <v>175</v>
      </c>
      <c r="D725" s="37">
        <v>12.4</v>
      </c>
      <c r="E725" s="36">
        <v>747</v>
      </c>
      <c r="F725" s="35" t="s">
        <v>1600</v>
      </c>
      <c r="G725" s="35" t="s">
        <v>1620</v>
      </c>
    </row>
    <row r="726" ht="20" customHeight="1" spans="1:7" x14ac:dyDescent="0.25">
      <c r="A726" s="17" t="s">
        <v>56</v>
      </c>
      <c r="B726" s="33">
        <v>21</v>
      </c>
      <c r="C726" s="17" t="s">
        <v>191</v>
      </c>
      <c r="D726" s="18">
        <v>27.1</v>
      </c>
      <c r="E726" s="33">
        <v>1627</v>
      </c>
      <c r="F726" s="17" t="s">
        <v>1600</v>
      </c>
      <c r="G726" s="17" t="s">
        <v>1621</v>
      </c>
    </row>
    <row r="727" ht="20" customHeight="1" spans="1:7" x14ac:dyDescent="0.25">
      <c r="A727" s="35" t="s">
        <v>56</v>
      </c>
      <c r="B727" s="36">
        <v>22</v>
      </c>
      <c r="C727" s="35" t="s">
        <v>192</v>
      </c>
      <c r="D727" s="37">
        <v>30.1</v>
      </c>
      <c r="E727" s="36">
        <v>1804</v>
      </c>
      <c r="F727" s="35" t="s">
        <v>1600</v>
      </c>
      <c r="G727" s="35" t="s">
        <v>1622</v>
      </c>
    </row>
    <row r="728" ht="20" customHeight="1" spans="1:7" x14ac:dyDescent="0.25">
      <c r="A728" s="17" t="s">
        <v>56</v>
      </c>
      <c r="B728" s="33">
        <v>23</v>
      </c>
      <c r="C728" s="17" t="s">
        <v>199</v>
      </c>
      <c r="D728" s="18">
        <v>29.4</v>
      </c>
      <c r="E728" s="33">
        <v>1761</v>
      </c>
      <c r="F728" s="17" t="s">
        <v>1600</v>
      </c>
      <c r="G728" s="17" t="s">
        <v>1623</v>
      </c>
    </row>
    <row r="729" ht="20" customHeight="1" spans="1:7" x14ac:dyDescent="0.25">
      <c r="A729" s="35" t="s">
        <v>56</v>
      </c>
      <c r="B729" s="36">
        <v>24</v>
      </c>
      <c r="C729" s="35" t="s">
        <v>200</v>
      </c>
      <c r="D729" s="37">
        <v>53.8</v>
      </c>
      <c r="E729" s="36">
        <v>3228</v>
      </c>
      <c r="F729" s="35" t="s">
        <v>1600</v>
      </c>
      <c r="G729" s="35" t="s">
        <v>1624</v>
      </c>
    </row>
    <row r="730" ht="20" customHeight="1" spans="1:7" x14ac:dyDescent="0.25">
      <c r="A730" s="17" t="s">
        <v>56</v>
      </c>
      <c r="B730" s="33">
        <v>25</v>
      </c>
      <c r="C730" s="17" t="s">
        <v>216</v>
      </c>
      <c r="D730" s="18">
        <v>21.9</v>
      </c>
      <c r="E730" s="33">
        <v>1313</v>
      </c>
      <c r="F730" s="17" t="s">
        <v>1600</v>
      </c>
      <c r="G730" s="17" t="s">
        <v>1625</v>
      </c>
    </row>
    <row r="731" ht="20" customHeight="1" spans="1:7" x14ac:dyDescent="0.25">
      <c r="A731" s="35" t="s">
        <v>56</v>
      </c>
      <c r="B731" s="36">
        <v>26</v>
      </c>
      <c r="C731" s="35" t="s">
        <v>217</v>
      </c>
      <c r="D731" s="37">
        <v>15.5</v>
      </c>
      <c r="E731" s="36">
        <v>930</v>
      </c>
      <c r="F731" s="35" t="s">
        <v>1600</v>
      </c>
      <c r="G731" s="35" t="s">
        <v>1626</v>
      </c>
    </row>
    <row r="732" ht="20" customHeight="1" spans="1:7" x14ac:dyDescent="0.25">
      <c r="A732" s="17" t="s">
        <v>56</v>
      </c>
      <c r="B732" s="33">
        <v>27</v>
      </c>
      <c r="C732" s="17" t="s">
        <v>224</v>
      </c>
      <c r="D732" s="18">
        <v>52.2</v>
      </c>
      <c r="E732" s="33">
        <v>3134</v>
      </c>
      <c r="F732" s="17" t="s">
        <v>1600</v>
      </c>
      <c r="G732" s="17" t="s">
        <v>1627</v>
      </c>
    </row>
    <row r="733" ht="20" customHeight="1" spans="1:7" x14ac:dyDescent="0.25">
      <c r="A733" s="35" t="s">
        <v>56</v>
      </c>
      <c r="B733" s="36">
        <v>28</v>
      </c>
      <c r="C733" s="35" t="s">
        <v>225</v>
      </c>
      <c r="D733" s="37">
        <v>23.9</v>
      </c>
      <c r="E733" s="36">
        <v>1434</v>
      </c>
      <c r="F733" s="35" t="s">
        <v>1600</v>
      </c>
      <c r="G733" s="35" t="s">
        <v>1628</v>
      </c>
    </row>
    <row r="734" ht="20" customHeight="1" spans="1:7" x14ac:dyDescent="0.25">
      <c r="A734" s="17" t="s">
        <v>56</v>
      </c>
      <c r="B734" s="33">
        <v>29</v>
      </c>
      <c r="C734" s="17" t="s">
        <v>241</v>
      </c>
      <c r="D734" s="18">
        <v>77.3</v>
      </c>
      <c r="E734" s="33">
        <v>4637</v>
      </c>
      <c r="F734" s="17" t="s">
        <v>1600</v>
      </c>
      <c r="G734" s="17" t="s">
        <v>1629</v>
      </c>
    </row>
    <row r="735" ht="20" customHeight="1" spans="1:7" x14ac:dyDescent="0.25">
      <c r="A735" s="35" t="s">
        <v>56</v>
      </c>
      <c r="B735" s="36">
        <v>30</v>
      </c>
      <c r="C735" s="35" t="s">
        <v>242</v>
      </c>
      <c r="D735" s="37">
        <v>15</v>
      </c>
      <c r="E735" s="36">
        <v>899</v>
      </c>
      <c r="F735" s="35" t="s">
        <v>1600</v>
      </c>
      <c r="G735" s="35" t="s">
        <v>1630</v>
      </c>
    </row>
    <row r="736" ht="20" customHeight="1" spans="1:7" x14ac:dyDescent="0.25">
      <c r="A736" s="17" t="s">
        <v>56</v>
      </c>
      <c r="B736" s="33">
        <v>31</v>
      </c>
      <c r="C736" s="17" t="s">
        <v>249</v>
      </c>
      <c r="D736" s="18">
        <v>29.6</v>
      </c>
      <c r="E736" s="33">
        <v>1774</v>
      </c>
      <c r="F736" s="17" t="s">
        <v>1600</v>
      </c>
      <c r="G736" s="17" t="s">
        <v>1631</v>
      </c>
    </row>
    <row r="737" ht="20" customHeight="1" spans="1:7" x14ac:dyDescent="0.25">
      <c r="A737" s="35" t="s">
        <v>56</v>
      </c>
      <c r="B737" s="36">
        <v>32</v>
      </c>
      <c r="C737" s="35" t="s">
        <v>250</v>
      </c>
      <c r="D737" s="37">
        <v>59.8</v>
      </c>
      <c r="E737" s="36">
        <v>3589</v>
      </c>
      <c r="F737" s="35" t="s">
        <v>1600</v>
      </c>
      <c r="G737" s="35" t="s">
        <v>1632</v>
      </c>
    </row>
    <row r="738" ht="20" customHeight="1" spans="1:7" x14ac:dyDescent="0.25">
      <c r="A738" s="17" t="s">
        <v>56</v>
      </c>
      <c r="B738" s="33">
        <v>33</v>
      </c>
      <c r="C738" s="17" t="s">
        <v>266</v>
      </c>
      <c r="D738" s="18">
        <v>49.8</v>
      </c>
      <c r="E738" s="33">
        <v>2986</v>
      </c>
      <c r="F738" s="17" t="s">
        <v>1600</v>
      </c>
      <c r="G738" s="17" t="s">
        <v>1633</v>
      </c>
    </row>
    <row r="739" ht="20" customHeight="1" spans="1:7" x14ac:dyDescent="0.25">
      <c r="A739" s="35" t="s">
        <v>56</v>
      </c>
      <c r="B739" s="36">
        <v>34</v>
      </c>
      <c r="C739" s="35" t="s">
        <v>267</v>
      </c>
      <c r="D739" s="37">
        <v>21.8</v>
      </c>
      <c r="E739" s="36">
        <v>1305</v>
      </c>
      <c r="F739" s="35" t="s">
        <v>1600</v>
      </c>
      <c r="G739" s="35" t="s">
        <v>1634</v>
      </c>
    </row>
    <row r="740" ht="20" customHeight="1" spans="1:7" x14ac:dyDescent="0.25">
      <c r="A740" s="17" t="s">
        <v>56</v>
      </c>
      <c r="B740" s="33">
        <v>35</v>
      </c>
      <c r="C740" s="17" t="s">
        <v>274</v>
      </c>
      <c r="D740" s="18">
        <v>56.7</v>
      </c>
      <c r="E740" s="33">
        <v>3400</v>
      </c>
      <c r="F740" s="17" t="s">
        <v>1600</v>
      </c>
      <c r="G740" s="17" t="s">
        <v>1635</v>
      </c>
    </row>
    <row r="741" ht="20" customHeight="1" spans="1:7" x14ac:dyDescent="0.25">
      <c r="A741" s="35" t="s">
        <v>56</v>
      </c>
      <c r="B741" s="36">
        <v>36</v>
      </c>
      <c r="C741" s="35" t="s">
        <v>275</v>
      </c>
      <c r="D741" s="37">
        <v>41.7</v>
      </c>
      <c r="E741" s="36">
        <v>2502</v>
      </c>
      <c r="F741" s="35" t="s">
        <v>1600</v>
      </c>
      <c r="G741" s="35" t="s">
        <v>1636</v>
      </c>
    </row>
    <row r="742" ht="20" customHeight="1" spans="1:7" x14ac:dyDescent="0.25">
      <c r="A742" s="17" t="s">
        <v>56</v>
      </c>
      <c r="B742" s="33">
        <v>37</v>
      </c>
      <c r="C742" s="17" t="s">
        <v>291</v>
      </c>
      <c r="D742" s="18">
        <v>19.9</v>
      </c>
      <c r="E742" s="33">
        <v>1191</v>
      </c>
      <c r="F742" s="17" t="s">
        <v>1600</v>
      </c>
      <c r="G742" s="17" t="s">
        <v>1637</v>
      </c>
    </row>
    <row r="743" ht="20" customHeight="1" spans="1:7" x14ac:dyDescent="0.25">
      <c r="A743" s="35" t="s">
        <v>56</v>
      </c>
      <c r="B743" s="36">
        <v>38</v>
      </c>
      <c r="C743" s="35" t="s">
        <v>292</v>
      </c>
      <c r="D743" s="37">
        <v>29.6</v>
      </c>
      <c r="E743" s="36">
        <v>1776</v>
      </c>
      <c r="F743" s="35" t="s">
        <v>1600</v>
      </c>
      <c r="G743" s="35" t="s">
        <v>1638</v>
      </c>
    </row>
    <row r="744" ht="20" customHeight="1" spans="1:7" x14ac:dyDescent="0.25">
      <c r="A744" s="17" t="s">
        <v>56</v>
      </c>
      <c r="B744" s="33">
        <v>39</v>
      </c>
      <c r="C744" s="17" t="s">
        <v>299</v>
      </c>
      <c r="D744" s="18">
        <v>96</v>
      </c>
      <c r="E744" s="33">
        <v>5760</v>
      </c>
      <c r="F744" s="17" t="s">
        <v>1600</v>
      </c>
      <c r="G744" s="17" t="s">
        <v>1639</v>
      </c>
    </row>
    <row r="745" ht="20" customHeight="1" spans="1:7" x14ac:dyDescent="0.25">
      <c r="A745" s="35" t="s">
        <v>56</v>
      </c>
      <c r="B745" s="36">
        <v>40</v>
      </c>
      <c r="C745" s="35" t="s">
        <v>300</v>
      </c>
      <c r="D745" s="37">
        <v>44.9</v>
      </c>
      <c r="E745" s="36">
        <v>2696</v>
      </c>
      <c r="F745" s="35" t="s">
        <v>1600</v>
      </c>
      <c r="G745" s="35" t="s">
        <v>1640</v>
      </c>
    </row>
    <row r="746" ht="20" customHeight="1" spans="1:7" x14ac:dyDescent="0.25">
      <c r="A746" s="17" t="s">
        <v>56</v>
      </c>
      <c r="B746" s="33">
        <v>41</v>
      </c>
      <c r="C746" s="17" t="s">
        <v>316</v>
      </c>
      <c r="D746" s="18">
        <v>45.6</v>
      </c>
      <c r="E746" s="33">
        <v>2739</v>
      </c>
      <c r="F746" s="17" t="s">
        <v>1600</v>
      </c>
      <c r="G746" s="17" t="s">
        <v>1641</v>
      </c>
    </row>
    <row r="747" ht="20" customHeight="1" spans="1:7" x14ac:dyDescent="0.25">
      <c r="A747" s="35" t="s">
        <v>56</v>
      </c>
      <c r="B747" s="36">
        <v>42</v>
      </c>
      <c r="C747" s="35" t="s">
        <v>317</v>
      </c>
      <c r="D747" s="37">
        <v>82.5</v>
      </c>
      <c r="E747" s="36">
        <v>4949</v>
      </c>
      <c r="F747" s="35" t="s">
        <v>1600</v>
      </c>
      <c r="G747" s="35" t="s">
        <v>1642</v>
      </c>
    </row>
    <row r="748" ht="20" customHeight="1" spans="1:7" x14ac:dyDescent="0.25">
      <c r="A748" s="17" t="s">
        <v>56</v>
      </c>
      <c r="B748" s="33">
        <v>43</v>
      </c>
      <c r="C748" s="17" t="s">
        <v>324</v>
      </c>
      <c r="D748" s="18">
        <v>39.3</v>
      </c>
      <c r="E748" s="33">
        <v>2357</v>
      </c>
      <c r="F748" s="17" t="s">
        <v>1600</v>
      </c>
      <c r="G748" s="17" t="s">
        <v>1643</v>
      </c>
    </row>
    <row r="749" ht="20" customHeight="1" spans="1:7" x14ac:dyDescent="0.25">
      <c r="A749" s="35" t="s">
        <v>56</v>
      </c>
      <c r="B749" s="36">
        <v>44</v>
      </c>
      <c r="C749" s="35" t="s">
        <v>325</v>
      </c>
      <c r="D749" s="37">
        <v>30.9</v>
      </c>
      <c r="E749" s="36">
        <v>1854</v>
      </c>
      <c r="F749" s="35" t="s">
        <v>1600</v>
      </c>
      <c r="G749" s="35" t="s">
        <v>1644</v>
      </c>
    </row>
    <row r="750" ht="20" customHeight="1" spans="1:7" x14ac:dyDescent="0.25">
      <c r="A750" s="17" t="s">
        <v>56</v>
      </c>
      <c r="B750" s="33">
        <v>45</v>
      </c>
      <c r="C750" s="17" t="s">
        <v>341</v>
      </c>
      <c r="D750" s="18">
        <v>32.4</v>
      </c>
      <c r="E750" s="33">
        <v>1941</v>
      </c>
      <c r="F750" s="17" t="s">
        <v>1600</v>
      </c>
      <c r="G750" s="17" t="s">
        <v>1645</v>
      </c>
    </row>
    <row r="751" ht="20" customHeight="1" spans="1:7" x14ac:dyDescent="0.25">
      <c r="A751" s="35" t="s">
        <v>56</v>
      </c>
      <c r="B751" s="36">
        <v>46</v>
      </c>
      <c r="C751" s="35" t="s">
        <v>342</v>
      </c>
      <c r="D751" s="37">
        <v>36.7</v>
      </c>
      <c r="E751" s="36">
        <v>2202</v>
      </c>
      <c r="F751" s="35" t="s">
        <v>1600</v>
      </c>
      <c r="G751" s="35" t="s">
        <v>1646</v>
      </c>
    </row>
    <row r="752" ht="20" customHeight="1" spans="1:7" x14ac:dyDescent="0.25">
      <c r="A752" s="17" t="s">
        <v>56</v>
      </c>
      <c r="B752" s="33">
        <v>47</v>
      </c>
      <c r="C752" s="17" t="s">
        <v>349</v>
      </c>
      <c r="D752" s="18">
        <v>50.3</v>
      </c>
      <c r="E752" s="33">
        <v>3020</v>
      </c>
      <c r="F752" s="17" t="s">
        <v>1600</v>
      </c>
      <c r="G752" s="17" t="s">
        <v>1647</v>
      </c>
    </row>
    <row r="753" ht="20" customHeight="1" spans="1:7" x14ac:dyDescent="0.25">
      <c r="A753" s="35" t="s">
        <v>56</v>
      </c>
      <c r="B753" s="36">
        <v>48</v>
      </c>
      <c r="C753" s="35" t="s">
        <v>350</v>
      </c>
      <c r="D753" s="37">
        <v>22.9</v>
      </c>
      <c r="E753" s="36">
        <v>1371</v>
      </c>
      <c r="F753" s="35" t="s">
        <v>1600</v>
      </c>
      <c r="G753" s="35" t="s">
        <v>1648</v>
      </c>
    </row>
    <row r="754" ht="20" customHeight="1" spans="1:7" x14ac:dyDescent="0.25">
      <c r="A754" s="17" t="s">
        <v>56</v>
      </c>
      <c r="B754" s="33">
        <v>49</v>
      </c>
      <c r="C754" s="17" t="s">
        <v>366</v>
      </c>
      <c r="D754" s="18">
        <v>17.7</v>
      </c>
      <c r="E754" s="33">
        <v>1063</v>
      </c>
      <c r="F754" s="17" t="s">
        <v>1600</v>
      </c>
      <c r="G754" s="17" t="s">
        <v>1649</v>
      </c>
    </row>
    <row r="755" ht="20" customHeight="1" spans="1:7" x14ac:dyDescent="0.25">
      <c r="A755" s="35" t="s">
        <v>56</v>
      </c>
      <c r="B755" s="36">
        <v>50</v>
      </c>
      <c r="C755" s="35" t="s">
        <v>367</v>
      </c>
      <c r="D755" s="37">
        <v>25.9</v>
      </c>
      <c r="E755" s="36">
        <v>1552</v>
      </c>
      <c r="F755" s="35" t="s">
        <v>1600</v>
      </c>
      <c r="G755" s="35" t="s">
        <v>1650</v>
      </c>
    </row>
    <row r="756" ht="20" customHeight="1" spans="1:7" x14ac:dyDescent="0.25">
      <c r="A756" s="17" t="s">
        <v>56</v>
      </c>
      <c r="B756" s="33">
        <v>51</v>
      </c>
      <c r="C756" s="17" t="s">
        <v>374</v>
      </c>
      <c r="D756" s="18">
        <v>23.2</v>
      </c>
      <c r="E756" s="33">
        <v>1390</v>
      </c>
      <c r="F756" s="17" t="s">
        <v>1600</v>
      </c>
      <c r="G756" s="17" t="s">
        <v>1651</v>
      </c>
    </row>
    <row r="757" ht="20" customHeight="1" spans="1:7" x14ac:dyDescent="0.25">
      <c r="A757" s="35" t="s">
        <v>56</v>
      </c>
      <c r="B757" s="36">
        <v>52</v>
      </c>
      <c r="C757" s="35" t="s">
        <v>375</v>
      </c>
      <c r="D757" s="37">
        <v>15.3</v>
      </c>
      <c r="E757" s="36">
        <v>919</v>
      </c>
      <c r="F757" s="35" t="s">
        <v>1600</v>
      </c>
      <c r="G757" s="35" t="s">
        <v>1652</v>
      </c>
    </row>
    <row r="758" ht="20" customHeight="1" spans="1:7" x14ac:dyDescent="0.25">
      <c r="A758" s="17" t="s">
        <v>56</v>
      </c>
      <c r="B758" s="33">
        <v>53</v>
      </c>
      <c r="C758" s="17" t="s">
        <v>391</v>
      </c>
      <c r="D758" s="18">
        <v>24.7</v>
      </c>
      <c r="E758" s="33">
        <v>1482</v>
      </c>
      <c r="F758" s="17" t="s">
        <v>1600</v>
      </c>
      <c r="G758" s="17" t="s">
        <v>1653</v>
      </c>
    </row>
    <row r="759" ht="20" customHeight="1" spans="1:7" x14ac:dyDescent="0.25">
      <c r="A759" s="35" t="s">
        <v>56</v>
      </c>
      <c r="B759" s="36">
        <v>54</v>
      </c>
      <c r="C759" s="35" t="s">
        <v>392</v>
      </c>
      <c r="D759" s="37">
        <v>12.6</v>
      </c>
      <c r="E759" s="36">
        <v>753</v>
      </c>
      <c r="F759" s="35" t="s">
        <v>1600</v>
      </c>
      <c r="G759" s="35" t="s">
        <v>1654</v>
      </c>
    </row>
    <row r="760" ht="20" customHeight="1" spans="1:7" x14ac:dyDescent="0.25">
      <c r="A760" s="17" t="s">
        <v>56</v>
      </c>
      <c r="B760" s="33">
        <v>55</v>
      </c>
      <c r="C760" s="17" t="s">
        <v>399</v>
      </c>
      <c r="D760" s="18">
        <v>32.5</v>
      </c>
      <c r="E760" s="33">
        <v>1947</v>
      </c>
      <c r="F760" s="17" t="s">
        <v>1600</v>
      </c>
      <c r="G760" s="17" t="s">
        <v>1655</v>
      </c>
    </row>
    <row r="761" ht="20" customHeight="1" spans="1:7" x14ac:dyDescent="0.25">
      <c r="A761" s="35" t="s">
        <v>56</v>
      </c>
      <c r="B761" s="36">
        <v>56</v>
      </c>
      <c r="C761" s="35" t="s">
        <v>400</v>
      </c>
      <c r="D761" s="37">
        <v>70</v>
      </c>
      <c r="E761" s="36">
        <v>4198</v>
      </c>
      <c r="F761" s="35" t="s">
        <v>1600</v>
      </c>
      <c r="G761" s="35" t="s">
        <v>1656</v>
      </c>
    </row>
    <row r="762" ht="20" customHeight="1" spans="1:7" x14ac:dyDescent="0.25">
      <c r="A762" s="17" t="s">
        <v>56</v>
      </c>
      <c r="B762" s="33">
        <v>57</v>
      </c>
      <c r="C762" s="17" t="s">
        <v>416</v>
      </c>
      <c r="D762" s="18">
        <v>39.4</v>
      </c>
      <c r="E762" s="33">
        <v>2363</v>
      </c>
      <c r="F762" s="17" t="s">
        <v>1600</v>
      </c>
      <c r="G762" s="17" t="s">
        <v>1657</v>
      </c>
    </row>
    <row r="763" ht="20" customHeight="1" spans="1:7" x14ac:dyDescent="0.25">
      <c r="A763" s="35" t="s">
        <v>56</v>
      </c>
      <c r="B763" s="36">
        <v>58</v>
      </c>
      <c r="C763" s="35" t="s">
        <v>417</v>
      </c>
      <c r="D763" s="37">
        <v>55.1</v>
      </c>
      <c r="E763" s="36">
        <v>3305</v>
      </c>
      <c r="F763" s="35" t="s">
        <v>1600</v>
      </c>
      <c r="G763" s="35" t="s">
        <v>1658</v>
      </c>
    </row>
    <row r="764" ht="20" customHeight="1" spans="1:7" x14ac:dyDescent="0.25">
      <c r="A764" s="17" t="s">
        <v>56</v>
      </c>
      <c r="B764" s="33">
        <v>59</v>
      </c>
      <c r="C764" s="17" t="s">
        <v>424</v>
      </c>
      <c r="D764" s="18">
        <v>56.1</v>
      </c>
      <c r="E764" s="33">
        <v>3365</v>
      </c>
      <c r="F764" s="17" t="s">
        <v>1600</v>
      </c>
      <c r="G764" s="17" t="s">
        <v>1659</v>
      </c>
    </row>
    <row r="765" ht="20" customHeight="1" spans="1:7" x14ac:dyDescent="0.25">
      <c r="A765" s="35" t="s">
        <v>56</v>
      </c>
      <c r="B765" s="36">
        <v>60</v>
      </c>
      <c r="C765" s="35" t="s">
        <v>425</v>
      </c>
      <c r="D765" s="37">
        <v>50.5</v>
      </c>
      <c r="E765" s="36">
        <v>3028</v>
      </c>
      <c r="F765" s="35" t="s">
        <v>1600</v>
      </c>
      <c r="G765" s="35" t="s">
        <v>1660</v>
      </c>
    </row>
    <row r="766" ht="20" customHeight="1" spans="1:7" x14ac:dyDescent="0.25">
      <c r="A766" s="17" t="s">
        <v>56</v>
      </c>
      <c r="B766" s="33">
        <v>61</v>
      </c>
      <c r="C766" s="17" t="s">
        <v>441</v>
      </c>
      <c r="D766" s="18">
        <v>48.5</v>
      </c>
      <c r="E766" s="33">
        <v>2912</v>
      </c>
      <c r="F766" s="17" t="s">
        <v>1600</v>
      </c>
      <c r="G766" s="17" t="s">
        <v>1661</v>
      </c>
    </row>
    <row r="767" ht="20" customHeight="1" spans="1:7" x14ac:dyDescent="0.25">
      <c r="A767" s="35" t="s">
        <v>56</v>
      </c>
      <c r="B767" s="36">
        <v>62</v>
      </c>
      <c r="C767" s="35" t="s">
        <v>442</v>
      </c>
      <c r="D767" s="37">
        <v>27.8</v>
      </c>
      <c r="E767" s="36">
        <v>1670</v>
      </c>
      <c r="F767" s="35" t="s">
        <v>1600</v>
      </c>
      <c r="G767" s="35" t="s">
        <v>1662</v>
      </c>
    </row>
  </sheetData>
  <autoFilter ref="A1:G76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Hazır YKS Kamp Takvimi</vt:lpstr>
      <vt:lpstr>Dinamik Haftalık Planlayıcı</vt:lpstr>
      <vt:lpstr>Veri Bankası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YKS Study Planner Generator</dc:creator>
  <dc:title/>
  <dc:subject/>
  <dc:description/>
  <cp:keywords/>
  <cp:category/>
  <cp:lastModifiedBy>YKS Study Planner Generator</cp:lastModifiedBy>
  <dcterms:created xsi:type="dcterms:W3CDTF">2026-09-24T12:00:00Z</dcterms:created>
  <dcterms:modified xsi:type="dcterms:W3CDTF">2026-09-24T12:14:17Z</dcterms:modified>
</cp:coreProperties>
</file>